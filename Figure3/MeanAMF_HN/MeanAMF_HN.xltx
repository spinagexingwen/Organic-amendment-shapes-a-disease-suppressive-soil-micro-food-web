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-lml\网络分析_1.18\4.19最新(HP数据用基于根\A_HN\相对于根\两个月平均\"/>
    </mc:Choice>
  </mc:AlternateContent>
  <xr:revisionPtr revIDLastSave="0" documentId="12_ncr:500000_{6D2B8ECE-E479-4DC8-B985-9A6DA8136617}" xr6:coauthVersionLast="31" xr6:coauthVersionMax="31" xr10:uidLastSave="{00000000-0000-0000-0000-000000000000}"/>
  <bookViews>
    <workbookView xWindow="0" yWindow="0" windowWidth="23040" windowHeight="9024" activeTab="3" xr2:uid="{59FBEF72-C206-4DF8-8DAC-7DB2D075CE5E}"/>
  </bookViews>
  <sheets>
    <sheet name="AMF_s" sheetId="1" r:id="rId1"/>
    <sheet name="AMFsr" sheetId="3" r:id="rId2"/>
    <sheet name="AMF_root" sheetId="4" r:id="rId3"/>
    <sheet name="AMF" sheetId="5" r:id="rId4"/>
    <sheet name="HN" sheetId="2" r:id="rId5"/>
  </sheets>
  <definedNames>
    <definedName name="_xlnm._FilterDatabase" localSheetId="0" hidden="1">AMF_s!$A$1:$N$42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5" i="5" l="1"/>
  <c r="B3" i="5" l="1"/>
  <c r="C3" i="5"/>
  <c r="D3" i="5"/>
  <c r="E3" i="5"/>
  <c r="F3" i="5"/>
  <c r="G3" i="5"/>
  <c r="H3" i="5"/>
  <c r="I3" i="5"/>
  <c r="J3" i="5"/>
  <c r="K3" i="5"/>
  <c r="L3" i="5"/>
  <c r="M3" i="5"/>
  <c r="B4" i="5"/>
  <c r="C4" i="5"/>
  <c r="D4" i="5"/>
  <c r="E4" i="5"/>
  <c r="F4" i="5"/>
  <c r="G4" i="5"/>
  <c r="H4" i="5"/>
  <c r="I4" i="5"/>
  <c r="J4" i="5"/>
  <c r="K4" i="5"/>
  <c r="L4" i="5"/>
  <c r="M4" i="5"/>
  <c r="B5" i="5"/>
  <c r="C5" i="5"/>
  <c r="D5" i="5"/>
  <c r="E5" i="5"/>
  <c r="F5" i="5"/>
  <c r="G5" i="5"/>
  <c r="H5" i="5"/>
  <c r="I5" i="5"/>
  <c r="J5" i="5"/>
  <c r="K5" i="5"/>
  <c r="L5" i="5"/>
  <c r="M5" i="5"/>
  <c r="B6" i="5"/>
  <c r="C6" i="5"/>
  <c r="D6" i="5"/>
  <c r="E6" i="5"/>
  <c r="F6" i="5"/>
  <c r="G6" i="5"/>
  <c r="H6" i="5"/>
  <c r="I6" i="5"/>
  <c r="J6" i="5"/>
  <c r="K6" i="5"/>
  <c r="L6" i="5"/>
  <c r="M6" i="5"/>
  <c r="B7" i="5"/>
  <c r="C7" i="5"/>
  <c r="D7" i="5"/>
  <c r="E7" i="5"/>
  <c r="F7" i="5"/>
  <c r="G7" i="5"/>
  <c r="H7" i="5"/>
  <c r="I7" i="5"/>
  <c r="J7" i="5"/>
  <c r="K7" i="5"/>
  <c r="L7" i="5"/>
  <c r="M7" i="5"/>
  <c r="B8" i="5"/>
  <c r="C8" i="5"/>
  <c r="D8" i="5"/>
  <c r="E8" i="5"/>
  <c r="F8" i="5"/>
  <c r="G8" i="5"/>
  <c r="H8" i="5"/>
  <c r="I8" i="5"/>
  <c r="J8" i="5"/>
  <c r="K8" i="5"/>
  <c r="L8" i="5"/>
  <c r="M8" i="5"/>
  <c r="B9" i="5"/>
  <c r="C9" i="5"/>
  <c r="D9" i="5"/>
  <c r="E9" i="5"/>
  <c r="F9" i="5"/>
  <c r="G9" i="5"/>
  <c r="H9" i="5"/>
  <c r="I9" i="5"/>
  <c r="J9" i="5"/>
  <c r="K9" i="5"/>
  <c r="L9" i="5"/>
  <c r="M9" i="5"/>
  <c r="B10" i="5"/>
  <c r="C10" i="5"/>
  <c r="D10" i="5"/>
  <c r="E10" i="5"/>
  <c r="F10" i="5"/>
  <c r="G10" i="5"/>
  <c r="H10" i="5"/>
  <c r="I10" i="5"/>
  <c r="J10" i="5"/>
  <c r="K10" i="5"/>
  <c r="L10" i="5"/>
  <c r="M10" i="5"/>
  <c r="B11" i="5"/>
  <c r="C11" i="5"/>
  <c r="D11" i="5"/>
  <c r="E11" i="5"/>
  <c r="F11" i="5"/>
  <c r="G11" i="5"/>
  <c r="H11" i="5"/>
  <c r="I11" i="5"/>
  <c r="J11" i="5"/>
  <c r="K11" i="5"/>
  <c r="L11" i="5"/>
  <c r="M11" i="5"/>
  <c r="B12" i="5"/>
  <c r="C12" i="5"/>
  <c r="D12" i="5"/>
  <c r="E12" i="5"/>
  <c r="F12" i="5"/>
  <c r="G12" i="5"/>
  <c r="H12" i="5"/>
  <c r="I12" i="5"/>
  <c r="J12" i="5"/>
  <c r="K12" i="5"/>
  <c r="L12" i="5"/>
  <c r="M12" i="5"/>
  <c r="B13" i="5"/>
  <c r="C13" i="5"/>
  <c r="D13" i="5"/>
  <c r="E13" i="5"/>
  <c r="F13" i="5"/>
  <c r="G13" i="5"/>
  <c r="H13" i="5"/>
  <c r="I13" i="5"/>
  <c r="J13" i="5"/>
  <c r="K13" i="5"/>
  <c r="L13" i="5"/>
  <c r="M13" i="5"/>
  <c r="B14" i="5"/>
  <c r="C14" i="5"/>
  <c r="D14" i="5"/>
  <c r="E14" i="5"/>
  <c r="F14" i="5"/>
  <c r="G14" i="5"/>
  <c r="H14" i="5"/>
  <c r="I14" i="5"/>
  <c r="J14" i="5"/>
  <c r="K14" i="5"/>
  <c r="L14" i="5"/>
  <c r="M14" i="5"/>
  <c r="B15" i="5"/>
  <c r="C15" i="5"/>
  <c r="D15" i="5"/>
  <c r="E15" i="5"/>
  <c r="F15" i="5"/>
  <c r="G15" i="5"/>
  <c r="H15" i="5"/>
  <c r="I15" i="5"/>
  <c r="J15" i="5"/>
  <c r="K15" i="5"/>
  <c r="L15" i="5"/>
  <c r="M15" i="5"/>
  <c r="B16" i="5"/>
  <c r="C16" i="5"/>
  <c r="D16" i="5"/>
  <c r="E16" i="5"/>
  <c r="F16" i="5"/>
  <c r="G16" i="5"/>
  <c r="H16" i="5"/>
  <c r="I16" i="5"/>
  <c r="J16" i="5"/>
  <c r="K16" i="5"/>
  <c r="L16" i="5"/>
  <c r="M16" i="5"/>
  <c r="B17" i="5"/>
  <c r="C17" i="5"/>
  <c r="D17" i="5"/>
  <c r="E17" i="5"/>
  <c r="F17" i="5"/>
  <c r="G17" i="5"/>
  <c r="H17" i="5"/>
  <c r="I17" i="5"/>
  <c r="J17" i="5"/>
  <c r="K17" i="5"/>
  <c r="L17" i="5"/>
  <c r="M17" i="5"/>
  <c r="B18" i="5"/>
  <c r="C18" i="5"/>
  <c r="D18" i="5"/>
  <c r="E18" i="5"/>
  <c r="F18" i="5"/>
  <c r="G18" i="5"/>
  <c r="H18" i="5"/>
  <c r="I18" i="5"/>
  <c r="J18" i="5"/>
  <c r="K18" i="5"/>
  <c r="L18" i="5"/>
  <c r="M18" i="5"/>
  <c r="B19" i="5"/>
  <c r="C19" i="5"/>
  <c r="D19" i="5"/>
  <c r="E19" i="5"/>
  <c r="F19" i="5"/>
  <c r="G19" i="5"/>
  <c r="H19" i="5"/>
  <c r="I19" i="5"/>
  <c r="J19" i="5"/>
  <c r="K19" i="5"/>
  <c r="L19" i="5"/>
  <c r="M19" i="5"/>
  <c r="B20" i="5"/>
  <c r="C20" i="5"/>
  <c r="D20" i="5"/>
  <c r="E20" i="5"/>
  <c r="F20" i="5"/>
  <c r="G20" i="5"/>
  <c r="H20" i="5"/>
  <c r="I20" i="5"/>
  <c r="J20" i="5"/>
  <c r="K20" i="5"/>
  <c r="L20" i="5"/>
  <c r="M20" i="5"/>
  <c r="B21" i="5"/>
  <c r="C21" i="5"/>
  <c r="D21" i="5"/>
  <c r="E21" i="5"/>
  <c r="F21" i="5"/>
  <c r="G21" i="5"/>
  <c r="H21" i="5"/>
  <c r="I21" i="5"/>
  <c r="J21" i="5"/>
  <c r="K21" i="5"/>
  <c r="L21" i="5"/>
  <c r="M21" i="5"/>
  <c r="B22" i="5"/>
  <c r="C22" i="5"/>
  <c r="D22" i="5"/>
  <c r="E22" i="5"/>
  <c r="F22" i="5"/>
  <c r="G22" i="5"/>
  <c r="H22" i="5"/>
  <c r="I22" i="5"/>
  <c r="J22" i="5"/>
  <c r="K22" i="5"/>
  <c r="L22" i="5"/>
  <c r="M22" i="5"/>
  <c r="B23" i="5"/>
  <c r="C23" i="5"/>
  <c r="D23" i="5"/>
  <c r="E23" i="5"/>
  <c r="F23" i="5"/>
  <c r="G23" i="5"/>
  <c r="H23" i="5"/>
  <c r="I23" i="5"/>
  <c r="J23" i="5"/>
  <c r="K23" i="5"/>
  <c r="L23" i="5"/>
  <c r="M23" i="5"/>
  <c r="B24" i="5"/>
  <c r="C24" i="5"/>
  <c r="D24" i="5"/>
  <c r="E24" i="5"/>
  <c r="F24" i="5"/>
  <c r="G24" i="5"/>
  <c r="H24" i="5"/>
  <c r="I24" i="5"/>
  <c r="J24" i="5"/>
  <c r="K24" i="5"/>
  <c r="L24" i="5"/>
  <c r="M24" i="5"/>
  <c r="B25" i="5"/>
  <c r="C25" i="5"/>
  <c r="D25" i="5"/>
  <c r="E25" i="5"/>
  <c r="F25" i="5"/>
  <c r="G25" i="5"/>
  <c r="H25" i="5"/>
  <c r="I25" i="5"/>
  <c r="J25" i="5"/>
  <c r="K25" i="5"/>
  <c r="L25" i="5"/>
  <c r="M25" i="5"/>
  <c r="C2" i="5"/>
  <c r="D2" i="5"/>
  <c r="E2" i="5"/>
  <c r="F2" i="5"/>
  <c r="G2" i="5"/>
  <c r="H2" i="5"/>
  <c r="I2" i="5"/>
  <c r="J2" i="5"/>
  <c r="K2" i="5"/>
  <c r="L2" i="5"/>
  <c r="M2" i="5"/>
  <c r="B2" i="5"/>
  <c r="C39" i="4"/>
  <c r="C29" i="4"/>
  <c r="C30" i="4"/>
  <c r="C31" i="4"/>
  <c r="C32" i="4"/>
  <c r="C33" i="4"/>
  <c r="C34" i="4"/>
  <c r="C35" i="4"/>
  <c r="C36" i="4"/>
  <c r="C37" i="4"/>
  <c r="C38" i="4"/>
  <c r="C28" i="4"/>
</calcChain>
</file>

<file path=xl/sharedStrings.xml><?xml version="1.0" encoding="utf-8"?>
<sst xmlns="http://schemas.openxmlformats.org/spreadsheetml/2006/main" count="275" uniqueCount="106">
  <si>
    <t>NPK1</t>
  </si>
  <si>
    <t>NPK2</t>
  </si>
  <si>
    <t>NPK3</t>
  </si>
  <si>
    <t>NPK4</t>
  </si>
  <si>
    <t>NPK5</t>
  </si>
  <si>
    <t>NPK6</t>
  </si>
  <si>
    <t>NPKM1</t>
  </si>
  <si>
    <t>NPKM2</t>
  </si>
  <si>
    <t>NPKM3</t>
  </si>
  <si>
    <t>NPKM4</t>
  </si>
  <si>
    <t>NPKM5</t>
  </si>
  <si>
    <t>NPKM6</t>
  </si>
  <si>
    <t>s__Glomus_Yamato12_Glo2</t>
  </si>
  <si>
    <t>s__Glomus_cf._clarum</t>
  </si>
  <si>
    <t>s__Glomus_Glo7</t>
  </si>
  <si>
    <t>s__Glomus_Kawahara__amp_amp__Ezawa13_Glo13</t>
  </si>
  <si>
    <t>s__Glomus_An08_GLO1-1</t>
  </si>
  <si>
    <t>s__Glomus_Li2010b_Glo1</t>
  </si>
  <si>
    <t>s__Glomus_mosseae</t>
  </si>
  <si>
    <t>s__Glomus_OTU43</t>
  </si>
  <si>
    <t>s__Glomus_Glo2</t>
  </si>
  <si>
    <t>s__unidentified</t>
  </si>
  <si>
    <t>s__Glomus_Wang11_Glo10</t>
  </si>
  <si>
    <t>s__Glomus_Pivato07_sp._4</t>
  </si>
  <si>
    <t>s__Glomus_Wang11_Glo8</t>
  </si>
  <si>
    <t>s__Glomus_deserticola</t>
  </si>
  <si>
    <t>s__Glomus_An08_GLO5</t>
  </si>
  <si>
    <t>s__Glomus_fasciculatum</t>
  </si>
  <si>
    <t>s__Septoglomus_viscosum</t>
  </si>
  <si>
    <t>s__Glomus_van_de_Voorde10_clade_8</t>
  </si>
  <si>
    <t>s__Glomus_XIng2012_Glomus_Ab7</t>
  </si>
  <si>
    <t>s__Glomus_manihotis</t>
  </si>
  <si>
    <t>s__Diversispora_OTU15</t>
  </si>
  <si>
    <t>s__Paraglomus_An08_PAR1-2</t>
  </si>
  <si>
    <t>s__Claroideoglomus_Hannula12_Glo8</t>
  </si>
  <si>
    <t>s__Glomus_Kawahara__amp_amp__Ezawa13_Glo3</t>
  </si>
  <si>
    <t>s__Glomus_Glo10</t>
  </si>
  <si>
    <t>s__Glomus_Guo12_UnGlom_Bb</t>
  </si>
  <si>
    <t>s__Glomus_Wang11_Glo1</t>
  </si>
  <si>
    <t>s__Glomus_cerebriforme</t>
  </si>
  <si>
    <t>s__Rhizophagus_arabicus</t>
  </si>
  <si>
    <t>s__Glomus_Gollotte04_sp._3</t>
  </si>
  <si>
    <t>s__Claroideoglomus_Turnau01_HM-CL3</t>
  </si>
  <si>
    <t>s__Glomus_Guo12_UnGlGr_A</t>
  </si>
  <si>
    <t>s__Septoglomus_jasnowskae</t>
  </si>
  <si>
    <t>s__Glomus_Gollotte04_sp._5</t>
  </si>
  <si>
    <t>s__Paraglomus_occultum</t>
  </si>
  <si>
    <t>s__Glomus_An08_GLO2</t>
  </si>
  <si>
    <t>s__Claroideoglomus_Cla2</t>
  </si>
  <si>
    <t>s__Glomus_sp.</t>
  </si>
  <si>
    <t>s__Glomus_Gollotte04_sp._2</t>
  </si>
  <si>
    <t>s__Glomus_Torrecillas12a_Glomus_G6</t>
  </si>
  <si>
    <t>s__Glomus_Guo12_UnGlom_Ba</t>
  </si>
  <si>
    <t>AA</t>
    <phoneticPr fontId="1" type="noConversion"/>
  </si>
  <si>
    <t>BB</t>
    <phoneticPr fontId="1" type="noConversion"/>
  </si>
  <si>
    <t>HN1</t>
  </si>
  <si>
    <t>HN2</t>
  </si>
  <si>
    <t>HN3</t>
  </si>
  <si>
    <t>HN4</t>
  </si>
  <si>
    <t>HN5</t>
  </si>
  <si>
    <t>HN6</t>
  </si>
  <si>
    <t>HN7</t>
  </si>
  <si>
    <t>HN8</t>
  </si>
  <si>
    <t>HN9</t>
  </si>
  <si>
    <t>HN10</t>
  </si>
  <si>
    <t>HN11</t>
  </si>
  <si>
    <t>HN12</t>
  </si>
  <si>
    <t>HN13</t>
  </si>
  <si>
    <t>Coslenchus</t>
  </si>
  <si>
    <t>Helicotylenchus</t>
  </si>
  <si>
    <t>Pratylenchus</t>
  </si>
  <si>
    <t>Paratylenchus</t>
  </si>
  <si>
    <t>Tylenchus</t>
  </si>
  <si>
    <t>Malenchus</t>
  </si>
  <si>
    <t>Basiria</t>
  </si>
  <si>
    <t>Boleodorus</t>
  </si>
  <si>
    <t>Aglenchus</t>
  </si>
  <si>
    <t>Rotylenchus</t>
  </si>
  <si>
    <t>Macroposthonia</t>
  </si>
  <si>
    <t>Nagelus</t>
  </si>
  <si>
    <t>Hirschmanniella</t>
  </si>
  <si>
    <t>A1</t>
    <phoneticPr fontId="1" type="noConversion"/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</si>
  <si>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</si>
  <si>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</si>
  <si>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</si>
  <si>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</si>
  <si>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</si>
  <si>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</si>
  <si>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</si>
  <si>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</si>
  <si>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</si>
  <si>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</si>
  <si>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</si>
  <si>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</si>
  <si>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</si>
  <si>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</si>
  <si>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</si>
  <si>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</si>
  <si>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</si>
  <si>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</si>
  <si>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</si>
  <si>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</si>
  <si>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</si>
  <si>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</si>
  <si>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</si>
  <si>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individual/ g root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</si>
</sst>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Times New Roman"/>
      <family val="1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Fill="1" applyAlignment="1">
      <alignment horizontal="center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E3A6-C8BD-4BB8-9E2C-3ABE21C706E7}">
  <sheetPr filterMode="1"/>
  <dimension ref="A1:N42"/>
  <sheetViews>
    <sheetView workbookViewId="0">
      <selection activeCell="H46" sqref="H46"/>
    </sheetView>
  </sheetViews>
  <sheetFormatPr defaultRowHeight="13.8" x14ac:dyDescent="0.25"/>
  <sheetData>
    <row r="1" spans="1:14" x14ac:dyDescent="0.25">
      <c r="A1" t="s">
        <v>53</v>
      </c>
      <c r="B1" t="s">
        <v>54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</row>
    <row r="2" spans="1:14" x14ac:dyDescent="0.25">
      <c r="A2" t="s">
        <v>12</v>
      </c>
      <c r="B2" t="s">
        <v>12</v>
      </c>
      <c r="C2">
        <v>3.3349999999999997E-5</v>
      </c>
      <c r="D2">
        <v>0</v>
      </c>
      <c r="E2">
        <v>1.6699999999999999E-5</v>
      </c>
      <c r="F2">
        <v>2.1689049999999997E-4</v>
      </c>
      <c r="G2">
        <v>0</v>
      </c>
      <c r="H2">
        <v>1.1680349999999999E-4</v>
      </c>
      <c r="I2">
        <v>6.8404000000000002E-4</v>
      </c>
      <c r="J2">
        <v>1.334713E-3</v>
      </c>
      <c r="K2">
        <v>2.3691149999999998E-3</v>
      </c>
      <c r="L2">
        <v>9.3429850000000003E-4</v>
      </c>
      <c r="M2">
        <v>8.5086150000000002E-4</v>
      </c>
      <c r="N2">
        <v>2.7361430000000003E-3</v>
      </c>
    </row>
    <row r="3" spans="1:14" x14ac:dyDescent="0.25">
      <c r="A3" t="s">
        <v>13</v>
      </c>
      <c r="B3" t="s">
        <v>13</v>
      </c>
      <c r="C3">
        <v>5.5055100000000004E-4</v>
      </c>
      <c r="D3">
        <v>5.1720149999999996E-4</v>
      </c>
      <c r="E3">
        <v>3.3399999999999999E-5</v>
      </c>
      <c r="F3">
        <v>1.6699999999999999E-5</v>
      </c>
      <c r="G3">
        <v>2.1689099999999998E-4</v>
      </c>
      <c r="H3">
        <v>0</v>
      </c>
      <c r="I3">
        <v>0</v>
      </c>
      <c r="J3">
        <v>0</v>
      </c>
      <c r="K3">
        <v>1.6699999999999999E-5</v>
      </c>
      <c r="L3">
        <v>0</v>
      </c>
      <c r="M3">
        <v>0</v>
      </c>
      <c r="N3">
        <v>5.00515E-5</v>
      </c>
    </row>
    <row r="4" spans="1:14" x14ac:dyDescent="0.25">
      <c r="A4" t="s">
        <v>14</v>
      </c>
      <c r="B4" t="s">
        <v>14</v>
      </c>
      <c r="C4">
        <v>4.2093512499999999E-2</v>
      </c>
      <c r="D4">
        <v>0.32310053750000001</v>
      </c>
      <c r="E4">
        <v>1.6699999999999999E-5</v>
      </c>
      <c r="F4">
        <v>1.668215E-4</v>
      </c>
      <c r="G4">
        <v>6.8287245999999996E-2</v>
      </c>
      <c r="H4">
        <v>1.6683900000000001E-4</v>
      </c>
      <c r="I4">
        <v>1.6683900000000001E-4</v>
      </c>
      <c r="J4">
        <v>2.8362649999999999E-4</v>
      </c>
      <c r="K4">
        <v>3.3349999999999997E-5</v>
      </c>
      <c r="L4">
        <v>1.5015499999999999E-4</v>
      </c>
      <c r="M4">
        <v>3.3349999999999997E-5</v>
      </c>
      <c r="N4">
        <v>1.167875E-4</v>
      </c>
    </row>
    <row r="5" spans="1:14" x14ac:dyDescent="0.25">
      <c r="A5" t="s">
        <v>15</v>
      </c>
      <c r="B5" t="s">
        <v>15</v>
      </c>
      <c r="C5">
        <v>0</v>
      </c>
      <c r="D5">
        <v>1.5015499999999999E-4</v>
      </c>
      <c r="E5">
        <v>0</v>
      </c>
      <c r="F5">
        <v>1.06777E-3</v>
      </c>
      <c r="G5">
        <v>0</v>
      </c>
      <c r="H5">
        <v>1.6699999999999999E-5</v>
      </c>
      <c r="I5">
        <v>6.8987954000000004E-2</v>
      </c>
      <c r="J5">
        <v>1.3348750000000001E-4</v>
      </c>
      <c r="K5">
        <v>3.1699400000000002E-4</v>
      </c>
      <c r="L5">
        <v>0</v>
      </c>
      <c r="M5">
        <v>2.3357449999999999E-4</v>
      </c>
      <c r="N5">
        <v>2.5025850000000001E-4</v>
      </c>
    </row>
    <row r="6" spans="1:14" x14ac:dyDescent="0.25">
      <c r="A6" t="s">
        <v>16</v>
      </c>
      <c r="B6" t="s">
        <v>16</v>
      </c>
      <c r="C6">
        <v>1.8051987000000002E-2</v>
      </c>
      <c r="D6">
        <v>0.16271814200000001</v>
      </c>
      <c r="E6">
        <v>0.3425873405</v>
      </c>
      <c r="F6">
        <v>6.4733559999999996E-3</v>
      </c>
      <c r="G6">
        <v>7.1073439999999998E-3</v>
      </c>
      <c r="H6">
        <v>0.17556475050000001</v>
      </c>
      <c r="I6">
        <v>2.54095895E-2</v>
      </c>
      <c r="J6">
        <v>9.6366245000000003E-2</v>
      </c>
      <c r="K6">
        <v>0.16086622849999999</v>
      </c>
      <c r="L6">
        <v>0.21679068400000001</v>
      </c>
      <c r="M6">
        <v>0.20683039150000002</v>
      </c>
      <c r="N6">
        <v>0.13649104099999998</v>
      </c>
    </row>
    <row r="7" spans="1:14" x14ac:dyDescent="0.25">
      <c r="A7" t="s">
        <v>17</v>
      </c>
      <c r="B7" t="s">
        <v>17</v>
      </c>
      <c r="C7">
        <v>6.6751499999999993E-5</v>
      </c>
      <c r="D7">
        <v>1.6699999999999999E-5</v>
      </c>
      <c r="E7">
        <v>0</v>
      </c>
      <c r="F7">
        <v>1.5015499999999999E-4</v>
      </c>
      <c r="G7">
        <v>7.0072400000000001E-4</v>
      </c>
      <c r="H7">
        <v>1.83523E-4</v>
      </c>
      <c r="I7">
        <v>1.0010349999999999E-4</v>
      </c>
      <c r="J7">
        <v>5.0049999999999997E-5</v>
      </c>
      <c r="K7">
        <v>5.00515E-5</v>
      </c>
      <c r="L7">
        <v>8.8424700000000001E-4</v>
      </c>
      <c r="M7">
        <v>1.001195E-4</v>
      </c>
      <c r="N7">
        <v>5.00515E-5</v>
      </c>
    </row>
    <row r="8" spans="1:14" x14ac:dyDescent="0.25">
      <c r="A8" t="s">
        <v>18</v>
      </c>
      <c r="B8" t="s">
        <v>18</v>
      </c>
      <c r="C8">
        <v>0</v>
      </c>
      <c r="D8">
        <v>0</v>
      </c>
      <c r="E8">
        <v>0</v>
      </c>
      <c r="F8">
        <v>1.2512929999999999E-3</v>
      </c>
      <c r="G8">
        <v>0</v>
      </c>
      <c r="H8">
        <v>0</v>
      </c>
      <c r="I8">
        <v>5.4639794499999998E-2</v>
      </c>
      <c r="J8">
        <v>1.6683900000000001E-4</v>
      </c>
      <c r="K8">
        <v>3.5037800000000004E-4</v>
      </c>
      <c r="L8">
        <v>0</v>
      </c>
      <c r="M8">
        <v>1.6683900000000001E-4</v>
      </c>
      <c r="N8">
        <v>7.17408E-4</v>
      </c>
    </row>
    <row r="9" spans="1:14" hidden="1" x14ac:dyDescent="0.25">
      <c r="A9" t="s">
        <v>19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1.6699999999999999E-5</v>
      </c>
      <c r="J9">
        <v>5.00515E-5</v>
      </c>
      <c r="K9">
        <v>0</v>
      </c>
      <c r="L9">
        <v>0</v>
      </c>
      <c r="M9">
        <v>0</v>
      </c>
      <c r="N9">
        <v>0</v>
      </c>
    </row>
    <row r="10" spans="1:14" x14ac:dyDescent="0.25">
      <c r="A10" t="s">
        <v>20</v>
      </c>
      <c r="B10" t="s">
        <v>21</v>
      </c>
      <c r="C10">
        <v>0</v>
      </c>
      <c r="D10">
        <v>1.301345E-3</v>
      </c>
      <c r="E10">
        <v>1.334715E-4</v>
      </c>
      <c r="F10">
        <v>1.2846610000000001E-3</v>
      </c>
      <c r="G10">
        <v>2.5025850000000001E-4</v>
      </c>
      <c r="H10">
        <v>1.267977E-3</v>
      </c>
      <c r="I10">
        <v>2.2456538499999998E-2</v>
      </c>
      <c r="J10">
        <v>1.2846609999999999E-3</v>
      </c>
      <c r="K10">
        <v>8.1250625499999993E-2</v>
      </c>
      <c r="L10">
        <v>1.0844539999999999E-3</v>
      </c>
      <c r="M10">
        <v>0.14520004</v>
      </c>
      <c r="N10">
        <v>2.1855914999999999E-3</v>
      </c>
    </row>
    <row r="11" spans="1:14" x14ac:dyDescent="0.25">
      <c r="A11" t="s">
        <v>21</v>
      </c>
      <c r="B11" t="s">
        <v>22</v>
      </c>
      <c r="C11">
        <v>5.69088055E-2</v>
      </c>
      <c r="D11">
        <v>3.4669157999999999E-2</v>
      </c>
      <c r="E11">
        <v>5.21538925E-2</v>
      </c>
      <c r="F11">
        <v>4.0041399999999998E-4</v>
      </c>
      <c r="G11">
        <v>1.6699999999999999E-5</v>
      </c>
      <c r="H11">
        <v>2.669425E-4</v>
      </c>
      <c r="I11">
        <v>0</v>
      </c>
      <c r="J11">
        <v>0</v>
      </c>
      <c r="K11">
        <v>1.167875E-4</v>
      </c>
      <c r="L11">
        <v>0</v>
      </c>
      <c r="M11">
        <v>0</v>
      </c>
      <c r="N11">
        <v>0</v>
      </c>
    </row>
    <row r="12" spans="1:14" x14ac:dyDescent="0.25">
      <c r="A12" t="s">
        <v>22</v>
      </c>
      <c r="B12" t="s">
        <v>25</v>
      </c>
      <c r="C12">
        <v>0</v>
      </c>
      <c r="D12">
        <v>3.3349999999999997E-5</v>
      </c>
      <c r="E12">
        <v>0</v>
      </c>
      <c r="F12">
        <v>1.6699999999999999E-5</v>
      </c>
      <c r="G12">
        <v>8.3401499999999991E-5</v>
      </c>
      <c r="H12">
        <v>1.6699999999999999E-5</v>
      </c>
      <c r="I12">
        <v>3.3349999999999997E-5</v>
      </c>
      <c r="J12">
        <v>2.7695104999999999E-3</v>
      </c>
      <c r="K12">
        <v>3.3349999999999997E-5</v>
      </c>
      <c r="L12">
        <v>0</v>
      </c>
      <c r="M12">
        <v>2.5024100000000001E-4</v>
      </c>
      <c r="N12">
        <v>3.3349999999999997E-5</v>
      </c>
    </row>
    <row r="13" spans="1:14" hidden="1" x14ac:dyDescent="0.25">
      <c r="A13" t="s">
        <v>23</v>
      </c>
      <c r="B13" t="s">
        <v>26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5.00515E-5</v>
      </c>
    </row>
    <row r="14" spans="1:14" hidden="1" x14ac:dyDescent="0.25">
      <c r="A14" t="s">
        <v>24</v>
      </c>
      <c r="B14" t="s">
        <v>27</v>
      </c>
      <c r="C14">
        <v>0</v>
      </c>
      <c r="D14">
        <v>8.3419500000000003E-5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t="s">
        <v>25</v>
      </c>
      <c r="B15" t="s">
        <v>28</v>
      </c>
      <c r="C15">
        <v>3.3349999999999997E-5</v>
      </c>
      <c r="D15">
        <v>0</v>
      </c>
      <c r="E15">
        <v>0</v>
      </c>
      <c r="F15">
        <v>1.6699999999999999E-5</v>
      </c>
      <c r="G15">
        <v>0</v>
      </c>
      <c r="H15">
        <v>0</v>
      </c>
      <c r="I15">
        <v>1.167875E-4</v>
      </c>
      <c r="J15">
        <v>2.669425E-4</v>
      </c>
      <c r="K15">
        <v>6.6737250000000001E-4</v>
      </c>
      <c r="L15">
        <v>2.5025850000000001E-4</v>
      </c>
      <c r="M15">
        <v>2.669425E-4</v>
      </c>
      <c r="N15">
        <v>7.8414350000000001E-4</v>
      </c>
    </row>
    <row r="16" spans="1:14" x14ac:dyDescent="0.25">
      <c r="A16" t="s">
        <v>26</v>
      </c>
      <c r="B16" t="s">
        <v>30</v>
      </c>
      <c r="C16">
        <v>0.173479262</v>
      </c>
      <c r="D16">
        <v>0.11435149650000001</v>
      </c>
      <c r="E16">
        <v>0.2264172975</v>
      </c>
      <c r="F16">
        <v>0.53431879599999998</v>
      </c>
      <c r="G16">
        <v>0.41055757599999998</v>
      </c>
      <c r="H16">
        <v>0.48134739199999999</v>
      </c>
      <c r="I16">
        <v>6.4233040000000003E-3</v>
      </c>
      <c r="J16">
        <v>6.6401945E-3</v>
      </c>
      <c r="K16">
        <v>7.3409190000000004E-3</v>
      </c>
      <c r="L16">
        <v>3.603724E-3</v>
      </c>
      <c r="M16">
        <v>1.4181319999999999E-3</v>
      </c>
      <c r="N16">
        <v>7.1907640000000005E-3</v>
      </c>
    </row>
    <row r="17" spans="1:14" x14ac:dyDescent="0.25">
      <c r="A17" t="s">
        <v>27</v>
      </c>
      <c r="B17" t="s">
        <v>35</v>
      </c>
      <c r="C17">
        <v>5.00515E-5</v>
      </c>
      <c r="D17">
        <v>5.5056899999999999E-4</v>
      </c>
      <c r="E17">
        <v>0</v>
      </c>
      <c r="F17">
        <v>1.501715E-4</v>
      </c>
      <c r="G17">
        <v>3.3349999999999997E-5</v>
      </c>
      <c r="H17">
        <v>1.6699999999999999E-5</v>
      </c>
      <c r="I17">
        <v>1.18956255E-2</v>
      </c>
      <c r="J17">
        <v>1.6699999999999999E-5</v>
      </c>
      <c r="K17">
        <v>3.3349999999999997E-5</v>
      </c>
      <c r="L17">
        <v>1.1678700000000001E-4</v>
      </c>
      <c r="M17">
        <v>1.6699999999999999E-5</v>
      </c>
      <c r="N17">
        <v>5.00515E-5</v>
      </c>
    </row>
    <row r="18" spans="1:14" x14ac:dyDescent="0.25">
      <c r="A18" t="s">
        <v>28</v>
      </c>
      <c r="B18" t="s">
        <v>36</v>
      </c>
      <c r="C18">
        <v>0</v>
      </c>
      <c r="D18">
        <v>0</v>
      </c>
      <c r="E18">
        <v>0</v>
      </c>
      <c r="F18">
        <v>5.0049999999999997E-5</v>
      </c>
      <c r="G18">
        <v>3.3349999999999997E-5</v>
      </c>
      <c r="H18">
        <v>1.6699999999999999E-5</v>
      </c>
      <c r="I18">
        <v>1.5015499999999999E-4</v>
      </c>
      <c r="J18">
        <v>6.3400450000000003E-4</v>
      </c>
      <c r="K18">
        <v>9.3429899999999998E-4</v>
      </c>
      <c r="L18">
        <v>4.504655E-4</v>
      </c>
      <c r="M18">
        <v>6.5065450000000003E-4</v>
      </c>
      <c r="N18">
        <v>1.0844539999999999E-3</v>
      </c>
    </row>
    <row r="19" spans="1:14" hidden="1" x14ac:dyDescent="0.25">
      <c r="A19" t="s">
        <v>29</v>
      </c>
      <c r="B19" t="s">
        <v>37</v>
      </c>
      <c r="C19">
        <v>0</v>
      </c>
      <c r="D19">
        <v>1.6699999999999999E-5</v>
      </c>
      <c r="E19">
        <v>0</v>
      </c>
      <c r="F19">
        <v>0</v>
      </c>
      <c r="G19">
        <v>0</v>
      </c>
      <c r="H19">
        <v>0</v>
      </c>
      <c r="I19">
        <v>0</v>
      </c>
      <c r="J19">
        <v>1.0010349999999999E-4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30</v>
      </c>
      <c r="B20" t="s">
        <v>40</v>
      </c>
      <c r="C20">
        <v>1.6683900000000001E-4</v>
      </c>
      <c r="D20">
        <v>6.6735499999999998E-5</v>
      </c>
      <c r="E20">
        <v>1.6699999999999999E-5</v>
      </c>
      <c r="F20">
        <v>1.0010349999999999E-4</v>
      </c>
      <c r="G20">
        <v>1.5015499999999999E-4</v>
      </c>
      <c r="H20">
        <v>1.0010349999999999E-4</v>
      </c>
      <c r="I20">
        <v>8.3435499999999998E-5</v>
      </c>
      <c r="J20">
        <v>5.00515E-5</v>
      </c>
      <c r="K20">
        <v>3.3349999999999997E-5</v>
      </c>
      <c r="L20">
        <v>1.1678700000000001E-4</v>
      </c>
      <c r="M20">
        <v>0</v>
      </c>
      <c r="N20">
        <v>1.1680349999999999E-4</v>
      </c>
    </row>
    <row r="21" spans="1:14" hidden="1" x14ac:dyDescent="0.25">
      <c r="A21" t="s">
        <v>31</v>
      </c>
      <c r="B21" t="s">
        <v>44</v>
      </c>
      <c r="C21">
        <v>2.5025850000000001E-4</v>
      </c>
      <c r="D21">
        <v>1.6683900000000001E-4</v>
      </c>
      <c r="E21">
        <v>0</v>
      </c>
      <c r="F21">
        <v>0</v>
      </c>
      <c r="G21">
        <v>1.167875E-4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hidden="1" x14ac:dyDescent="0.25">
      <c r="A22" t="s">
        <v>32</v>
      </c>
      <c r="B22" t="s">
        <v>45</v>
      </c>
      <c r="C22">
        <v>0</v>
      </c>
      <c r="D22">
        <v>3.3367800000000001E-4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hidden="1" x14ac:dyDescent="0.25">
      <c r="A23" t="s">
        <v>33</v>
      </c>
      <c r="B23" t="s">
        <v>47</v>
      </c>
      <c r="C23">
        <v>0</v>
      </c>
      <c r="D23">
        <v>0</v>
      </c>
      <c r="E23">
        <v>0</v>
      </c>
      <c r="F23">
        <v>0</v>
      </c>
      <c r="G23">
        <v>0</v>
      </c>
      <c r="H23">
        <v>1.6699999999999999E-5</v>
      </c>
      <c r="I23">
        <v>1.6699999999999999E-5</v>
      </c>
      <c r="J23">
        <v>1.6699999999999999E-5</v>
      </c>
      <c r="K23">
        <v>1.6699999999999999E-5</v>
      </c>
      <c r="L23">
        <v>6.6751499999999993E-5</v>
      </c>
      <c r="M23">
        <v>3.3349999999999997E-5</v>
      </c>
      <c r="N23">
        <v>0</v>
      </c>
    </row>
    <row r="24" spans="1:14" hidden="1" x14ac:dyDescent="0.25">
      <c r="A24" t="s">
        <v>34</v>
      </c>
      <c r="B24" t="s">
        <v>49</v>
      </c>
      <c r="C24">
        <v>1.6699999999999999E-5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2.0020699999999999E-4</v>
      </c>
      <c r="L24">
        <v>0</v>
      </c>
      <c r="M24">
        <v>0</v>
      </c>
      <c r="N24">
        <v>0</v>
      </c>
    </row>
    <row r="25" spans="1:14" x14ac:dyDescent="0.25">
      <c r="A25" t="s">
        <v>35</v>
      </c>
      <c r="B25" t="s">
        <v>51</v>
      </c>
      <c r="C25">
        <v>0.63850979350000003</v>
      </c>
      <c r="D25">
        <v>0.15679535550000001</v>
      </c>
      <c r="E25">
        <v>0.37358603899999998</v>
      </c>
      <c r="F25">
        <v>0.42278687999999998</v>
      </c>
      <c r="G25">
        <v>0.1273983115</v>
      </c>
      <c r="H25">
        <v>0.26208749050000002</v>
      </c>
      <c r="I25">
        <v>5.0552240000000005E-3</v>
      </c>
      <c r="J25">
        <v>3.0531550000000001E-3</v>
      </c>
      <c r="K25">
        <v>4.2377120000000002E-3</v>
      </c>
      <c r="L25">
        <v>3.7538789999999999E-3</v>
      </c>
      <c r="M25">
        <v>9.00931E-4</v>
      </c>
      <c r="N25">
        <v>3.5703559999999998E-3</v>
      </c>
    </row>
    <row r="26" spans="1:14" x14ac:dyDescent="0.25">
      <c r="A26" t="s">
        <v>36</v>
      </c>
      <c r="C26">
        <v>8.8422900000000005E-4</v>
      </c>
      <c r="D26">
        <v>6.6735600000000003E-4</v>
      </c>
      <c r="E26">
        <v>5.6725299999999998E-4</v>
      </c>
      <c r="F26">
        <v>8.008275E-4</v>
      </c>
      <c r="G26">
        <v>1.4515000000000001E-3</v>
      </c>
      <c r="H26">
        <v>3.1198910000000001E-3</v>
      </c>
      <c r="I26">
        <v>5.00515E-5</v>
      </c>
      <c r="J26">
        <v>6.6735499999999998E-5</v>
      </c>
      <c r="K26">
        <v>2.0020699999999999E-4</v>
      </c>
      <c r="L26">
        <v>0</v>
      </c>
      <c r="M26">
        <v>6.6735499999999998E-5</v>
      </c>
      <c r="N26">
        <v>1.6699999999999999E-5</v>
      </c>
    </row>
    <row r="27" spans="1:14" x14ac:dyDescent="0.25">
      <c r="A27" t="s">
        <v>37</v>
      </c>
      <c r="C27">
        <v>3.3349999999999997E-5</v>
      </c>
      <c r="D27">
        <v>2.3190789999999999E-3</v>
      </c>
      <c r="E27">
        <v>0</v>
      </c>
      <c r="F27">
        <v>1.1680349999999999E-4</v>
      </c>
      <c r="G27">
        <v>8.11338385E-2</v>
      </c>
      <c r="H27">
        <v>8.3419500000000003E-5</v>
      </c>
      <c r="I27">
        <v>1.6683900000000001E-4</v>
      </c>
      <c r="J27">
        <v>3.50362E-4</v>
      </c>
      <c r="K27">
        <v>1.334715E-4</v>
      </c>
      <c r="L27">
        <v>1.167875E-4</v>
      </c>
      <c r="M27">
        <v>1.167875E-4</v>
      </c>
      <c r="N27">
        <v>1.0010349999999999E-4</v>
      </c>
    </row>
    <row r="28" spans="1:14" hidden="1" x14ac:dyDescent="0.25">
      <c r="A28" t="s">
        <v>38</v>
      </c>
      <c r="C28">
        <v>1.6699999999999999E-5</v>
      </c>
      <c r="D28">
        <v>1.0010349999999999E-4</v>
      </c>
      <c r="E28">
        <v>0</v>
      </c>
      <c r="F28">
        <v>0</v>
      </c>
      <c r="G28">
        <v>1.0010349999999999E-4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hidden="1" x14ac:dyDescent="0.25">
      <c r="A29" t="s">
        <v>39</v>
      </c>
      <c r="C29">
        <v>0</v>
      </c>
      <c r="D29">
        <v>4.0039600000000002E-4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 t="s">
        <v>40</v>
      </c>
      <c r="C30">
        <v>8.6756300000000001E-4</v>
      </c>
      <c r="D30">
        <v>0</v>
      </c>
      <c r="E30">
        <v>0</v>
      </c>
      <c r="F30">
        <v>1.3348750000000001E-4</v>
      </c>
      <c r="G30">
        <v>1.334715E-4</v>
      </c>
      <c r="H30">
        <v>1.8353900000000001E-4</v>
      </c>
      <c r="I30">
        <v>2.8362649999999999E-4</v>
      </c>
      <c r="J30">
        <v>1.0010349999999999E-4</v>
      </c>
      <c r="K30">
        <v>5.33885E-4</v>
      </c>
      <c r="L30">
        <v>0.13455570750000001</v>
      </c>
      <c r="M30">
        <v>1.0010349999999999E-4</v>
      </c>
      <c r="N30">
        <v>1.334715E-4</v>
      </c>
    </row>
    <row r="31" spans="1:14" hidden="1" x14ac:dyDescent="0.25">
      <c r="A31" t="s">
        <v>41</v>
      </c>
      <c r="C31">
        <v>0</v>
      </c>
      <c r="D31">
        <v>3.3349999999999997E-5</v>
      </c>
      <c r="E31">
        <v>0</v>
      </c>
      <c r="F31">
        <v>0</v>
      </c>
      <c r="G31">
        <v>0</v>
      </c>
      <c r="H31">
        <v>0</v>
      </c>
      <c r="I31">
        <v>0</v>
      </c>
      <c r="J31">
        <v>3.3349999999999997E-5</v>
      </c>
      <c r="K31">
        <v>0</v>
      </c>
      <c r="L31">
        <v>0</v>
      </c>
      <c r="M31">
        <v>0</v>
      </c>
      <c r="N31">
        <v>0</v>
      </c>
    </row>
    <row r="32" spans="1:14" hidden="1" x14ac:dyDescent="0.25">
      <c r="A32" t="s">
        <v>42</v>
      </c>
      <c r="C32">
        <v>1.6699999999999999E-5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4.3378150000000001E-4</v>
      </c>
      <c r="K32">
        <v>0</v>
      </c>
      <c r="L32">
        <v>0</v>
      </c>
      <c r="M32">
        <v>1.6699999999999999E-5</v>
      </c>
      <c r="N32">
        <v>1.6699999999999999E-5</v>
      </c>
    </row>
    <row r="33" spans="1:14" hidden="1" x14ac:dyDescent="0.25">
      <c r="A33" t="s">
        <v>43</v>
      </c>
      <c r="C33">
        <v>0</v>
      </c>
      <c r="D33">
        <v>0</v>
      </c>
      <c r="E33">
        <v>0</v>
      </c>
      <c r="F33">
        <v>0</v>
      </c>
      <c r="G33">
        <v>6.6735499999999998E-5</v>
      </c>
      <c r="H33">
        <v>0</v>
      </c>
      <c r="I33">
        <v>0</v>
      </c>
      <c r="J33">
        <v>3.3349999999999997E-5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 t="s">
        <v>44</v>
      </c>
      <c r="C34">
        <v>1.1511894999999999E-3</v>
      </c>
      <c r="D34">
        <v>0</v>
      </c>
      <c r="E34">
        <v>0</v>
      </c>
      <c r="F34">
        <v>6.6735649999999998E-4</v>
      </c>
      <c r="G34">
        <v>1.5349195E-3</v>
      </c>
      <c r="H34">
        <v>1.3347125E-3</v>
      </c>
      <c r="I34">
        <v>1.47652575E-2</v>
      </c>
      <c r="J34">
        <v>9.4831325500000008E-2</v>
      </c>
      <c r="K34">
        <v>0.1234775935</v>
      </c>
      <c r="L34">
        <v>0.1288831795</v>
      </c>
      <c r="M34">
        <v>8.4820982000000003E-2</v>
      </c>
      <c r="N34">
        <v>7.8848142999999996E-2</v>
      </c>
    </row>
    <row r="35" spans="1:14" x14ac:dyDescent="0.25">
      <c r="A35" t="s">
        <v>45</v>
      </c>
      <c r="C35">
        <v>4.504655E-4</v>
      </c>
      <c r="D35">
        <v>3.0197875000000001E-3</v>
      </c>
      <c r="E35">
        <v>1.0177185000000001E-3</v>
      </c>
      <c r="F35">
        <v>6.8404049999999997E-4</v>
      </c>
      <c r="G35">
        <v>5.0049950000000001E-4</v>
      </c>
      <c r="H35">
        <v>6.1096466000000002E-2</v>
      </c>
      <c r="I35">
        <v>1.33471E-4</v>
      </c>
      <c r="J35">
        <v>8.3401499999999991E-5</v>
      </c>
      <c r="K35">
        <v>6.1728650000000005E-4</v>
      </c>
      <c r="L35">
        <v>3.8372999999999999E-4</v>
      </c>
      <c r="M35">
        <v>5.0049999999999997E-5</v>
      </c>
      <c r="N35">
        <v>4.504655E-4</v>
      </c>
    </row>
    <row r="36" spans="1:14" hidden="1" x14ac:dyDescent="0.25">
      <c r="A36" t="s">
        <v>46</v>
      </c>
      <c r="C36">
        <v>0</v>
      </c>
      <c r="D36">
        <v>1.167875E-4</v>
      </c>
      <c r="E36">
        <v>0</v>
      </c>
      <c r="F36">
        <v>0</v>
      </c>
      <c r="G36">
        <v>1.6699999999999999E-5</v>
      </c>
      <c r="H36">
        <v>0</v>
      </c>
      <c r="I36">
        <v>1.6699999999999999E-5</v>
      </c>
      <c r="J36">
        <v>1.6699999999999999E-5</v>
      </c>
      <c r="K36">
        <v>0</v>
      </c>
      <c r="L36">
        <v>0</v>
      </c>
      <c r="M36">
        <v>0</v>
      </c>
      <c r="N36">
        <v>1.6699999999999999E-5</v>
      </c>
    </row>
    <row r="37" spans="1:14" x14ac:dyDescent="0.25">
      <c r="A37" t="s">
        <v>47</v>
      </c>
      <c r="C37">
        <v>1.768494E-3</v>
      </c>
      <c r="D37">
        <v>1.8018439999999999E-3</v>
      </c>
      <c r="E37">
        <v>0</v>
      </c>
      <c r="F37">
        <v>3.3349999999999997E-5</v>
      </c>
      <c r="G37">
        <v>1.0844540000000001E-3</v>
      </c>
      <c r="H37">
        <v>6.6735499999999998E-5</v>
      </c>
      <c r="I37">
        <v>5.00515E-5</v>
      </c>
      <c r="J37">
        <v>0</v>
      </c>
      <c r="K37">
        <v>1.6699999999999999E-5</v>
      </c>
      <c r="L37">
        <v>3.3349999999999997E-5</v>
      </c>
      <c r="M37">
        <v>0</v>
      </c>
      <c r="N37">
        <v>3.3349999999999997E-5</v>
      </c>
    </row>
    <row r="38" spans="1:14" hidden="1" x14ac:dyDescent="0.25">
      <c r="A38" t="s">
        <v>48</v>
      </c>
      <c r="C38">
        <v>1.83523E-4</v>
      </c>
      <c r="D38">
        <v>2.0020699999999999E-4</v>
      </c>
      <c r="E38">
        <v>0</v>
      </c>
      <c r="F38">
        <v>0</v>
      </c>
      <c r="G38">
        <v>0</v>
      </c>
      <c r="H38">
        <v>1.6699999999999999E-5</v>
      </c>
      <c r="I38">
        <v>8.3419500000000003E-5</v>
      </c>
      <c r="J38">
        <v>0</v>
      </c>
      <c r="K38">
        <v>0</v>
      </c>
      <c r="L38">
        <v>0</v>
      </c>
      <c r="M38">
        <v>0</v>
      </c>
      <c r="N38">
        <v>1.6699999999999999E-5</v>
      </c>
    </row>
    <row r="39" spans="1:14" x14ac:dyDescent="0.25">
      <c r="A39" t="s">
        <v>49</v>
      </c>
      <c r="C39">
        <v>6.4333144499999995E-2</v>
      </c>
      <c r="D39">
        <v>0.19618605849999998</v>
      </c>
      <c r="E39">
        <v>2.5526375000000001E-3</v>
      </c>
      <c r="F39">
        <v>2.8345957499999998E-2</v>
      </c>
      <c r="G39">
        <v>0.29770763150000001</v>
      </c>
      <c r="H39">
        <v>1.2663085000000001E-2</v>
      </c>
      <c r="I39">
        <v>0.78769728750000001</v>
      </c>
      <c r="J39">
        <v>0.7901665055</v>
      </c>
      <c r="K39">
        <v>0.61523574400000003</v>
      </c>
      <c r="L39">
        <v>0.50744102250000001</v>
      </c>
      <c r="M39">
        <v>0.55697554149999995</v>
      </c>
      <c r="N39">
        <v>0.62793219649999998</v>
      </c>
    </row>
    <row r="40" spans="1:14" hidden="1" x14ac:dyDescent="0.25">
      <c r="A40" t="s">
        <v>50</v>
      </c>
      <c r="C40">
        <v>6.6735499999999998E-5</v>
      </c>
      <c r="D40">
        <v>1.33471E-4</v>
      </c>
      <c r="E40">
        <v>0</v>
      </c>
      <c r="F40">
        <v>1.5015499999999999E-4</v>
      </c>
      <c r="G40">
        <v>6.0062050000000001E-4</v>
      </c>
      <c r="H40">
        <v>0</v>
      </c>
      <c r="I40">
        <v>0</v>
      </c>
      <c r="J40">
        <v>0</v>
      </c>
      <c r="K40">
        <v>0</v>
      </c>
      <c r="L40">
        <v>0</v>
      </c>
      <c r="M40">
        <v>1.6699999999999999E-5</v>
      </c>
      <c r="N40">
        <v>0</v>
      </c>
    </row>
    <row r="41" spans="1:14" x14ac:dyDescent="0.25">
      <c r="A41" t="s">
        <v>51</v>
      </c>
      <c r="C41">
        <v>1.6699999999999999E-5</v>
      </c>
      <c r="D41">
        <v>0</v>
      </c>
      <c r="E41">
        <v>9.00931E-4</v>
      </c>
      <c r="F41">
        <v>6.0062050000000001E-4</v>
      </c>
      <c r="G41">
        <v>2.0020699999999999E-4</v>
      </c>
      <c r="H41">
        <v>2.5025850000000001E-4</v>
      </c>
      <c r="I41">
        <v>5.1718350000000001E-4</v>
      </c>
      <c r="J41">
        <v>6.6735649999999998E-4</v>
      </c>
      <c r="K41">
        <v>9.1759700000000003E-4</v>
      </c>
      <c r="L41">
        <v>3.8372999999999999E-4</v>
      </c>
      <c r="M41">
        <v>8.8422900000000005E-4</v>
      </c>
      <c r="N41">
        <v>0.13695819000000001</v>
      </c>
    </row>
    <row r="42" spans="1:14" hidden="1" x14ac:dyDescent="0.25">
      <c r="A42" t="s">
        <v>52</v>
      </c>
      <c r="C42">
        <v>0</v>
      </c>
      <c r="D42">
        <v>1.5015499999999999E-4</v>
      </c>
      <c r="E42">
        <v>0</v>
      </c>
      <c r="F42">
        <v>0</v>
      </c>
      <c r="G42">
        <v>5.1720100000000001E-4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</sheetData>
  <autoFilter ref="A1:N42" xr:uid="{9F6A29B3-69D6-4A5D-99CE-3644897B90E9}">
    <filterColumn colId="0">
      <colorFilter dxfId="1"/>
    </filterColumn>
  </autoFilter>
  <phoneticPr fontId="1" type="noConversion"/>
  <conditionalFormatting sqref="A1:B1048576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86D46-AE0E-4935-9D50-6984EA136971}">
  <dimension ref="A1:N25"/>
  <sheetViews>
    <sheetView workbookViewId="0">
      <selection activeCell="N15" sqref="N15"/>
    </sheetView>
  </sheetViews>
  <sheetFormatPr defaultRowHeight="13.8" x14ac:dyDescent="0.25"/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4" x14ac:dyDescent="0.25">
      <c r="A2" t="s">
        <v>81</v>
      </c>
      <c r="B2">
        <v>3.3349999999999997E-5</v>
      </c>
      <c r="C2">
        <v>0</v>
      </c>
      <c r="D2">
        <v>1.6699999999999999E-5</v>
      </c>
      <c r="E2">
        <v>2.1689049999999997E-4</v>
      </c>
      <c r="F2">
        <v>0</v>
      </c>
      <c r="G2">
        <v>1.1680349999999999E-4</v>
      </c>
      <c r="H2">
        <v>6.8404000000000002E-4</v>
      </c>
      <c r="I2">
        <v>1.334713E-3</v>
      </c>
      <c r="J2">
        <v>2.3691149999999998E-3</v>
      </c>
      <c r="K2">
        <v>9.3429850000000003E-4</v>
      </c>
      <c r="L2">
        <v>8.5086150000000002E-4</v>
      </c>
      <c r="M2">
        <v>2.7361430000000003E-3</v>
      </c>
      <c r="N2" t="s">
        <v>12</v>
      </c>
    </row>
    <row r="3" spans="1:14" x14ac:dyDescent="0.25">
      <c r="A3" t="s">
        <v>82</v>
      </c>
      <c r="B3">
        <v>5.5055100000000004E-4</v>
      </c>
      <c r="C3">
        <v>5.1720149999999996E-4</v>
      </c>
      <c r="D3">
        <v>3.3399999999999999E-5</v>
      </c>
      <c r="E3">
        <v>1.6699999999999999E-5</v>
      </c>
      <c r="F3">
        <v>2.1689099999999998E-4</v>
      </c>
      <c r="G3">
        <v>0</v>
      </c>
      <c r="H3">
        <v>0</v>
      </c>
      <c r="I3">
        <v>0</v>
      </c>
      <c r="J3">
        <v>1.6699999999999999E-5</v>
      </c>
      <c r="K3">
        <v>0</v>
      </c>
      <c r="L3">
        <v>0</v>
      </c>
      <c r="M3">
        <v>5.00515E-5</v>
      </c>
      <c r="N3" t="s">
        <v>13</v>
      </c>
    </row>
    <row r="4" spans="1:14" x14ac:dyDescent="0.25">
      <c r="A4" t="s">
        <v>83</v>
      </c>
      <c r="B4">
        <v>4.2093512499999999E-2</v>
      </c>
      <c r="C4">
        <v>0.32310053750000001</v>
      </c>
      <c r="D4">
        <v>1.6699999999999999E-5</v>
      </c>
      <c r="E4">
        <v>1.668215E-4</v>
      </c>
      <c r="F4">
        <v>6.8287245999999996E-2</v>
      </c>
      <c r="G4">
        <v>1.6683900000000001E-4</v>
      </c>
      <c r="H4">
        <v>1.6683900000000001E-4</v>
      </c>
      <c r="I4">
        <v>2.8362649999999999E-4</v>
      </c>
      <c r="J4">
        <v>3.3349999999999997E-5</v>
      </c>
      <c r="K4">
        <v>1.5015499999999999E-4</v>
      </c>
      <c r="L4">
        <v>3.3349999999999997E-5</v>
      </c>
      <c r="M4">
        <v>1.167875E-4</v>
      </c>
      <c r="N4" t="s">
        <v>14</v>
      </c>
    </row>
    <row r="5" spans="1:14" x14ac:dyDescent="0.25">
      <c r="A5" t="s">
        <v>84</v>
      </c>
      <c r="B5">
        <v>0</v>
      </c>
      <c r="C5">
        <v>1.5015499999999999E-4</v>
      </c>
      <c r="D5">
        <v>0</v>
      </c>
      <c r="E5">
        <v>1.06777E-3</v>
      </c>
      <c r="F5">
        <v>0</v>
      </c>
      <c r="G5">
        <v>1.6699999999999999E-5</v>
      </c>
      <c r="H5">
        <v>6.8987954000000004E-2</v>
      </c>
      <c r="I5">
        <v>1.3348750000000001E-4</v>
      </c>
      <c r="J5">
        <v>3.1699400000000002E-4</v>
      </c>
      <c r="K5">
        <v>0</v>
      </c>
      <c r="L5">
        <v>2.3357449999999999E-4</v>
      </c>
      <c r="M5">
        <v>2.5025850000000001E-4</v>
      </c>
      <c r="N5" t="s">
        <v>15</v>
      </c>
    </row>
    <row r="6" spans="1:14" x14ac:dyDescent="0.25">
      <c r="A6" t="s">
        <v>85</v>
      </c>
      <c r="B6">
        <v>1.8051987000000002E-2</v>
      </c>
      <c r="C6">
        <v>0.16271814200000001</v>
      </c>
      <c r="D6">
        <v>0.3425873405</v>
      </c>
      <c r="E6">
        <v>6.4733559999999996E-3</v>
      </c>
      <c r="F6">
        <v>7.1073439999999998E-3</v>
      </c>
      <c r="G6">
        <v>0.17556475050000001</v>
      </c>
      <c r="H6">
        <v>2.54095895E-2</v>
      </c>
      <c r="I6">
        <v>9.6366245000000003E-2</v>
      </c>
      <c r="J6">
        <v>0.16086622849999999</v>
      </c>
      <c r="K6">
        <v>0.21679068400000001</v>
      </c>
      <c r="L6">
        <v>0.20683039150000002</v>
      </c>
      <c r="M6">
        <v>0.13649104099999998</v>
      </c>
      <c r="N6" t="s">
        <v>16</v>
      </c>
    </row>
    <row r="7" spans="1:14" x14ac:dyDescent="0.25">
      <c r="A7" t="s">
        <v>86</v>
      </c>
      <c r="B7">
        <v>6.6751499999999993E-5</v>
      </c>
      <c r="C7">
        <v>1.6699999999999999E-5</v>
      </c>
      <c r="D7">
        <v>0</v>
      </c>
      <c r="E7">
        <v>1.5015499999999999E-4</v>
      </c>
      <c r="F7">
        <v>7.0072400000000001E-4</v>
      </c>
      <c r="G7">
        <v>1.83523E-4</v>
      </c>
      <c r="H7">
        <v>1.0010349999999999E-4</v>
      </c>
      <c r="I7">
        <v>5.0049999999999997E-5</v>
      </c>
      <c r="J7">
        <v>5.00515E-5</v>
      </c>
      <c r="K7">
        <v>8.8424700000000001E-4</v>
      </c>
      <c r="L7">
        <v>1.001195E-4</v>
      </c>
      <c r="M7">
        <v>5.00515E-5</v>
      </c>
      <c r="N7" t="s">
        <v>17</v>
      </c>
    </row>
    <row r="8" spans="1:14" x14ac:dyDescent="0.25">
      <c r="A8" t="s">
        <v>87</v>
      </c>
      <c r="B8">
        <v>0</v>
      </c>
      <c r="C8">
        <v>0</v>
      </c>
      <c r="D8">
        <v>0</v>
      </c>
      <c r="E8">
        <v>1.2512929999999999E-3</v>
      </c>
      <c r="F8">
        <v>0</v>
      </c>
      <c r="G8">
        <v>0</v>
      </c>
      <c r="H8">
        <v>5.4639794499999998E-2</v>
      </c>
      <c r="I8">
        <v>1.6683900000000001E-4</v>
      </c>
      <c r="J8">
        <v>3.5037800000000004E-4</v>
      </c>
      <c r="K8">
        <v>0</v>
      </c>
      <c r="L8">
        <v>1.6683900000000001E-4</v>
      </c>
      <c r="M8">
        <v>7.17408E-4</v>
      </c>
      <c r="N8" t="s">
        <v>18</v>
      </c>
    </row>
    <row r="9" spans="1:14" x14ac:dyDescent="0.25">
      <c r="A9" t="s">
        <v>88</v>
      </c>
      <c r="B9">
        <v>0</v>
      </c>
      <c r="C9">
        <v>1.301345E-3</v>
      </c>
      <c r="D9">
        <v>1.334715E-4</v>
      </c>
      <c r="E9">
        <v>1.2846610000000001E-3</v>
      </c>
      <c r="F9">
        <v>2.5025850000000001E-4</v>
      </c>
      <c r="G9">
        <v>1.267977E-3</v>
      </c>
      <c r="H9">
        <v>2.2456538499999998E-2</v>
      </c>
      <c r="I9">
        <v>1.2846609999999999E-3</v>
      </c>
      <c r="J9">
        <v>8.1250625499999993E-2</v>
      </c>
      <c r="K9">
        <v>1.0844539999999999E-3</v>
      </c>
      <c r="L9">
        <v>0.14520004</v>
      </c>
      <c r="M9">
        <v>2.1855914999999999E-3</v>
      </c>
      <c r="N9" t="s">
        <v>20</v>
      </c>
    </row>
    <row r="10" spans="1:14" x14ac:dyDescent="0.25">
      <c r="A10" t="s">
        <v>89</v>
      </c>
      <c r="B10">
        <v>5.69088055E-2</v>
      </c>
      <c r="C10">
        <v>3.4669157999999999E-2</v>
      </c>
      <c r="D10">
        <v>5.21538925E-2</v>
      </c>
      <c r="E10">
        <v>4.0041399999999998E-4</v>
      </c>
      <c r="F10">
        <v>1.6699999999999999E-5</v>
      </c>
      <c r="G10">
        <v>2.669425E-4</v>
      </c>
      <c r="H10">
        <v>0</v>
      </c>
      <c r="I10">
        <v>0</v>
      </c>
      <c r="J10">
        <v>1.167875E-4</v>
      </c>
      <c r="K10">
        <v>0</v>
      </c>
      <c r="L10">
        <v>0</v>
      </c>
      <c r="M10">
        <v>0</v>
      </c>
      <c r="N10" t="s">
        <v>21</v>
      </c>
    </row>
    <row r="11" spans="1:14" x14ac:dyDescent="0.25">
      <c r="A11" t="s">
        <v>90</v>
      </c>
      <c r="B11">
        <v>0</v>
      </c>
      <c r="C11">
        <v>3.3349999999999997E-5</v>
      </c>
      <c r="D11">
        <v>0</v>
      </c>
      <c r="E11">
        <v>1.6699999999999999E-5</v>
      </c>
      <c r="F11">
        <v>8.3401499999999991E-5</v>
      </c>
      <c r="G11">
        <v>1.6699999999999999E-5</v>
      </c>
      <c r="H11">
        <v>3.3349999999999997E-5</v>
      </c>
      <c r="I11">
        <v>2.7695104999999999E-3</v>
      </c>
      <c r="J11">
        <v>3.3349999999999997E-5</v>
      </c>
      <c r="K11">
        <v>0</v>
      </c>
      <c r="L11">
        <v>2.5024100000000001E-4</v>
      </c>
      <c r="M11">
        <v>3.3349999999999997E-5</v>
      </c>
      <c r="N11" t="s">
        <v>22</v>
      </c>
    </row>
    <row r="12" spans="1:14" x14ac:dyDescent="0.25">
      <c r="A12" t="s">
        <v>91</v>
      </c>
      <c r="B12">
        <v>3.3349999999999997E-5</v>
      </c>
      <c r="C12">
        <v>0</v>
      </c>
      <c r="D12">
        <v>0</v>
      </c>
      <c r="E12">
        <v>1.6699999999999999E-5</v>
      </c>
      <c r="F12">
        <v>0</v>
      </c>
      <c r="G12">
        <v>0</v>
      </c>
      <c r="H12">
        <v>1.167875E-4</v>
      </c>
      <c r="I12">
        <v>2.669425E-4</v>
      </c>
      <c r="J12">
        <v>6.6737250000000001E-4</v>
      </c>
      <c r="K12">
        <v>2.5025850000000001E-4</v>
      </c>
      <c r="L12">
        <v>2.669425E-4</v>
      </c>
      <c r="M12">
        <v>7.8414350000000001E-4</v>
      </c>
      <c r="N12" t="s">
        <v>25</v>
      </c>
    </row>
    <row r="13" spans="1:14" x14ac:dyDescent="0.25">
      <c r="A13" t="s">
        <v>92</v>
      </c>
      <c r="B13">
        <v>0.173479262</v>
      </c>
      <c r="C13">
        <v>0.11435149650000001</v>
      </c>
      <c r="D13">
        <v>0.2264172975</v>
      </c>
      <c r="E13">
        <v>0.53431879599999998</v>
      </c>
      <c r="F13">
        <v>0.41055757599999998</v>
      </c>
      <c r="G13">
        <v>0.48134739199999999</v>
      </c>
      <c r="H13">
        <v>6.4233040000000003E-3</v>
      </c>
      <c r="I13">
        <v>6.6401945E-3</v>
      </c>
      <c r="J13">
        <v>7.3409190000000004E-3</v>
      </c>
      <c r="K13">
        <v>3.603724E-3</v>
      </c>
      <c r="L13">
        <v>1.4181319999999999E-3</v>
      </c>
      <c r="M13">
        <v>7.1907640000000005E-3</v>
      </c>
      <c r="N13" t="s">
        <v>26</v>
      </c>
    </row>
    <row r="14" spans="1:14" x14ac:dyDescent="0.25">
      <c r="A14" t="s">
        <v>93</v>
      </c>
      <c r="B14">
        <v>5.00515E-5</v>
      </c>
      <c r="C14">
        <v>5.5056899999999999E-4</v>
      </c>
      <c r="D14">
        <v>0</v>
      </c>
      <c r="E14">
        <v>1.501715E-4</v>
      </c>
      <c r="F14">
        <v>3.3349999999999997E-5</v>
      </c>
      <c r="G14">
        <v>1.6699999999999999E-5</v>
      </c>
      <c r="H14">
        <v>1.18956255E-2</v>
      </c>
      <c r="I14">
        <v>1.6699999999999999E-5</v>
      </c>
      <c r="J14">
        <v>3.3349999999999997E-5</v>
      </c>
      <c r="K14">
        <v>1.1678700000000001E-4</v>
      </c>
      <c r="L14">
        <v>1.6699999999999999E-5</v>
      </c>
      <c r="M14">
        <v>5.00515E-5</v>
      </c>
      <c r="N14" t="s">
        <v>27</v>
      </c>
    </row>
    <row r="15" spans="1:14" s="2" customFormat="1" x14ac:dyDescent="0.25">
      <c r="A15" s="2" t="s">
        <v>94</v>
      </c>
      <c r="B15" s="2">
        <v>0</v>
      </c>
      <c r="C15" s="2">
        <v>0</v>
      </c>
      <c r="D15" s="2">
        <v>0</v>
      </c>
      <c r="E15" s="2">
        <v>5.0049999999999997E-5</v>
      </c>
      <c r="F15" s="2">
        <v>3.3349999999999997E-5</v>
      </c>
      <c r="G15" s="2">
        <v>1.6699999999999999E-5</v>
      </c>
      <c r="H15" s="2">
        <v>1.5015499999999999E-4</v>
      </c>
      <c r="I15" s="2">
        <v>6.3400450000000003E-4</v>
      </c>
      <c r="J15" s="2">
        <v>9.3429899999999998E-4</v>
      </c>
      <c r="K15" s="2">
        <v>4.504655E-4</v>
      </c>
      <c r="L15" s="2">
        <v>6.5065450000000003E-4</v>
      </c>
      <c r="M15" s="2">
        <v>1.0844539999999999E-3</v>
      </c>
      <c r="N15" s="2" t="s">
        <v>28</v>
      </c>
    </row>
    <row r="16" spans="1:14" x14ac:dyDescent="0.25">
      <c r="A16" t="s">
        <v>95</v>
      </c>
      <c r="B16">
        <v>1.6683900000000001E-4</v>
      </c>
      <c r="C16">
        <v>6.6735499999999998E-5</v>
      </c>
      <c r="D16">
        <v>1.6699999999999999E-5</v>
      </c>
      <c r="E16">
        <v>1.0010349999999999E-4</v>
      </c>
      <c r="F16">
        <v>1.5015499999999999E-4</v>
      </c>
      <c r="G16">
        <v>1.0010349999999999E-4</v>
      </c>
      <c r="H16">
        <v>8.3435499999999998E-5</v>
      </c>
      <c r="I16">
        <v>5.00515E-5</v>
      </c>
      <c r="J16">
        <v>3.3349999999999997E-5</v>
      </c>
      <c r="K16">
        <v>1.1678700000000001E-4</v>
      </c>
      <c r="L16">
        <v>0</v>
      </c>
      <c r="M16">
        <v>1.1680349999999999E-4</v>
      </c>
      <c r="N16" t="s">
        <v>30</v>
      </c>
    </row>
    <row r="17" spans="1:14" x14ac:dyDescent="0.25">
      <c r="A17" t="s">
        <v>96</v>
      </c>
      <c r="B17">
        <v>0.63850979350000003</v>
      </c>
      <c r="C17">
        <v>0.15679535550000001</v>
      </c>
      <c r="D17">
        <v>0.37358603899999998</v>
      </c>
      <c r="E17">
        <v>0.42278687999999998</v>
      </c>
      <c r="F17">
        <v>0.1273983115</v>
      </c>
      <c r="G17">
        <v>0.26208749050000002</v>
      </c>
      <c r="H17">
        <v>5.0552240000000005E-3</v>
      </c>
      <c r="I17">
        <v>3.0531550000000001E-3</v>
      </c>
      <c r="J17">
        <v>4.2377120000000002E-3</v>
      </c>
      <c r="K17">
        <v>3.7538789999999999E-3</v>
      </c>
      <c r="L17">
        <v>9.00931E-4</v>
      </c>
      <c r="M17">
        <v>3.5703559999999998E-3</v>
      </c>
      <c r="N17" t="s">
        <v>35</v>
      </c>
    </row>
    <row r="18" spans="1:14" x14ac:dyDescent="0.25">
      <c r="A18" t="s">
        <v>97</v>
      </c>
      <c r="B18">
        <v>8.8422900000000005E-4</v>
      </c>
      <c r="C18">
        <v>6.6735600000000003E-4</v>
      </c>
      <c r="D18">
        <v>5.6725299999999998E-4</v>
      </c>
      <c r="E18">
        <v>8.008275E-4</v>
      </c>
      <c r="F18">
        <v>1.4515000000000001E-3</v>
      </c>
      <c r="G18">
        <v>3.1198910000000001E-3</v>
      </c>
      <c r="H18">
        <v>5.00515E-5</v>
      </c>
      <c r="I18">
        <v>6.6735499999999998E-5</v>
      </c>
      <c r="J18">
        <v>2.0020699999999999E-4</v>
      </c>
      <c r="K18">
        <v>0</v>
      </c>
      <c r="L18">
        <v>6.6735499999999998E-5</v>
      </c>
      <c r="M18">
        <v>1.6699999999999999E-5</v>
      </c>
      <c r="N18" t="s">
        <v>36</v>
      </c>
    </row>
    <row r="19" spans="1:14" x14ac:dyDescent="0.25">
      <c r="A19" t="s">
        <v>98</v>
      </c>
      <c r="B19">
        <v>3.3349999999999997E-5</v>
      </c>
      <c r="C19">
        <v>2.3190789999999999E-3</v>
      </c>
      <c r="D19">
        <v>0</v>
      </c>
      <c r="E19">
        <v>1.1680349999999999E-4</v>
      </c>
      <c r="F19">
        <v>8.11338385E-2</v>
      </c>
      <c r="G19">
        <v>8.3419500000000003E-5</v>
      </c>
      <c r="H19">
        <v>1.6683900000000001E-4</v>
      </c>
      <c r="I19">
        <v>3.50362E-4</v>
      </c>
      <c r="J19">
        <v>1.334715E-4</v>
      </c>
      <c r="K19">
        <v>1.167875E-4</v>
      </c>
      <c r="L19">
        <v>1.167875E-4</v>
      </c>
      <c r="M19">
        <v>1.0010349999999999E-4</v>
      </c>
      <c r="N19" t="s">
        <v>37</v>
      </c>
    </row>
    <row r="20" spans="1:14" x14ac:dyDescent="0.25">
      <c r="A20" t="s">
        <v>99</v>
      </c>
      <c r="B20">
        <v>8.6756300000000001E-4</v>
      </c>
      <c r="C20">
        <v>0</v>
      </c>
      <c r="D20">
        <v>0</v>
      </c>
      <c r="E20">
        <v>1.3348750000000001E-4</v>
      </c>
      <c r="F20">
        <v>1.334715E-4</v>
      </c>
      <c r="G20">
        <v>1.8353900000000001E-4</v>
      </c>
      <c r="H20">
        <v>2.8362649999999999E-4</v>
      </c>
      <c r="I20">
        <v>1.0010349999999999E-4</v>
      </c>
      <c r="J20">
        <v>5.33885E-4</v>
      </c>
      <c r="K20">
        <v>0.13455570750000001</v>
      </c>
      <c r="L20">
        <v>1.0010349999999999E-4</v>
      </c>
      <c r="M20">
        <v>1.334715E-4</v>
      </c>
      <c r="N20" t="s">
        <v>40</v>
      </c>
    </row>
    <row r="21" spans="1:14" x14ac:dyDescent="0.25">
      <c r="A21" t="s">
        <v>100</v>
      </c>
      <c r="B21">
        <v>1.1511894999999999E-3</v>
      </c>
      <c r="C21">
        <v>0</v>
      </c>
      <c r="D21">
        <v>0</v>
      </c>
      <c r="E21">
        <v>6.6735649999999998E-4</v>
      </c>
      <c r="F21">
        <v>1.5349195E-3</v>
      </c>
      <c r="G21">
        <v>1.3347125E-3</v>
      </c>
      <c r="H21">
        <v>1.47652575E-2</v>
      </c>
      <c r="I21">
        <v>9.4831325500000008E-2</v>
      </c>
      <c r="J21">
        <v>0.1234775935</v>
      </c>
      <c r="K21">
        <v>0.1288831795</v>
      </c>
      <c r="L21">
        <v>8.4820982000000003E-2</v>
      </c>
      <c r="M21">
        <v>7.8848142999999996E-2</v>
      </c>
      <c r="N21" t="s">
        <v>44</v>
      </c>
    </row>
    <row r="22" spans="1:14" x14ac:dyDescent="0.25">
      <c r="A22" t="s">
        <v>101</v>
      </c>
      <c r="B22">
        <v>4.504655E-4</v>
      </c>
      <c r="C22">
        <v>3.0197875000000001E-3</v>
      </c>
      <c r="D22">
        <v>1.0177185000000001E-3</v>
      </c>
      <c r="E22">
        <v>6.8404049999999997E-4</v>
      </c>
      <c r="F22">
        <v>5.0049950000000001E-4</v>
      </c>
      <c r="G22">
        <v>6.1096466000000002E-2</v>
      </c>
      <c r="H22">
        <v>1.33471E-4</v>
      </c>
      <c r="I22">
        <v>8.3401499999999991E-5</v>
      </c>
      <c r="J22">
        <v>6.1728650000000005E-4</v>
      </c>
      <c r="K22">
        <v>3.8372999999999999E-4</v>
      </c>
      <c r="L22">
        <v>5.0049999999999997E-5</v>
      </c>
      <c r="M22">
        <v>4.504655E-4</v>
      </c>
      <c r="N22" t="s">
        <v>45</v>
      </c>
    </row>
    <row r="23" spans="1:14" x14ac:dyDescent="0.25">
      <c r="A23" t="s">
        <v>102</v>
      </c>
      <c r="B23">
        <v>1.768494E-3</v>
      </c>
      <c r="C23">
        <v>1.8018439999999999E-3</v>
      </c>
      <c r="D23">
        <v>0</v>
      </c>
      <c r="E23">
        <v>3.3349999999999997E-5</v>
      </c>
      <c r="F23">
        <v>1.0844540000000001E-3</v>
      </c>
      <c r="G23">
        <v>6.6735499999999998E-5</v>
      </c>
      <c r="H23">
        <v>5.00515E-5</v>
      </c>
      <c r="I23">
        <v>0</v>
      </c>
      <c r="J23">
        <v>1.6699999999999999E-5</v>
      </c>
      <c r="K23">
        <v>3.3349999999999997E-5</v>
      </c>
      <c r="L23">
        <v>0</v>
      </c>
      <c r="M23">
        <v>3.3349999999999997E-5</v>
      </c>
      <c r="N23" t="s">
        <v>47</v>
      </c>
    </row>
    <row r="24" spans="1:14" x14ac:dyDescent="0.25">
      <c r="A24" t="s">
        <v>103</v>
      </c>
      <c r="B24">
        <v>6.4333144499999995E-2</v>
      </c>
      <c r="C24">
        <v>0.19618605849999998</v>
      </c>
      <c r="D24">
        <v>2.5526375000000001E-3</v>
      </c>
      <c r="E24">
        <v>2.8345957499999998E-2</v>
      </c>
      <c r="F24">
        <v>0.29770763150000001</v>
      </c>
      <c r="G24">
        <v>1.2663085000000001E-2</v>
      </c>
      <c r="H24">
        <v>0.78769728750000001</v>
      </c>
      <c r="I24">
        <v>0.7901665055</v>
      </c>
      <c r="J24">
        <v>0.61523574400000003</v>
      </c>
      <c r="K24">
        <v>0.50744102250000001</v>
      </c>
      <c r="L24">
        <v>0.55697554149999995</v>
      </c>
      <c r="M24">
        <v>0.62793219649999998</v>
      </c>
      <c r="N24" t="s">
        <v>49</v>
      </c>
    </row>
    <row r="25" spans="1:14" x14ac:dyDescent="0.25">
      <c r="A25" t="s">
        <v>104</v>
      </c>
      <c r="B25">
        <v>1.6699999999999999E-5</v>
      </c>
      <c r="C25">
        <v>0</v>
      </c>
      <c r="D25">
        <v>9.00931E-4</v>
      </c>
      <c r="E25">
        <v>6.0062050000000001E-4</v>
      </c>
      <c r="F25">
        <v>2.0020699999999999E-4</v>
      </c>
      <c r="G25">
        <v>2.5025850000000001E-4</v>
      </c>
      <c r="H25">
        <v>5.1718350000000001E-4</v>
      </c>
      <c r="I25">
        <v>6.6735649999999998E-4</v>
      </c>
      <c r="J25">
        <v>9.1759700000000003E-4</v>
      </c>
      <c r="K25">
        <v>3.8372999999999999E-4</v>
      </c>
      <c r="L25">
        <v>8.8422900000000005E-4</v>
      </c>
      <c r="M25">
        <v>0.13695819000000001</v>
      </c>
      <c r="N25" t="s">
        <v>51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86D18-D660-4A96-A0D1-5297509C93EB}">
  <dimension ref="A1:M51"/>
  <sheetViews>
    <sheetView workbookViewId="0">
      <selection activeCell="I36" sqref="I36"/>
    </sheetView>
  </sheetViews>
  <sheetFormatPr defaultRowHeight="13.8" x14ac:dyDescent="0.25"/>
  <sheetData>
    <row r="1" spans="1: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 t="s">
        <v>81</v>
      </c>
      <c r="B2">
        <v>42.278491067193677</v>
      </c>
      <c r="C2">
        <v>39.603282051282044</v>
      </c>
      <c r="D2">
        <v>43.194240000000001</v>
      </c>
      <c r="E2">
        <v>42.234790489510495</v>
      </c>
      <c r="F2">
        <v>43.288413090909103</v>
      </c>
      <c r="G2">
        <v>51.557396078431381</v>
      </c>
      <c r="H2">
        <v>33.628731428571434</v>
      </c>
      <c r="I2">
        <v>46.197196190476191</v>
      </c>
      <c r="J2">
        <v>38.157474858387801</v>
      </c>
      <c r="K2">
        <v>36.645449142857146</v>
      </c>
      <c r="L2">
        <v>43.529789090909091</v>
      </c>
      <c r="M2">
        <v>31.372800000000002</v>
      </c>
    </row>
    <row r="3" spans="1:13" x14ac:dyDescent="0.25">
      <c r="A3" t="s">
        <v>82</v>
      </c>
      <c r="B3">
        <v>42.278491067193677</v>
      </c>
      <c r="C3">
        <v>39.603282051282044</v>
      </c>
      <c r="D3">
        <v>43.194240000000001</v>
      </c>
      <c r="E3">
        <v>42.234790489510495</v>
      </c>
      <c r="F3">
        <v>43.288413090909103</v>
      </c>
      <c r="G3">
        <v>51.557396078431381</v>
      </c>
      <c r="H3">
        <v>33.628731428571434</v>
      </c>
      <c r="I3">
        <v>46.197196190476191</v>
      </c>
      <c r="J3">
        <v>38.157474858387801</v>
      </c>
      <c r="K3">
        <v>36.645449142857146</v>
      </c>
      <c r="L3">
        <v>43.529789090909091</v>
      </c>
      <c r="M3">
        <v>31.372800000000002</v>
      </c>
    </row>
    <row r="4" spans="1:13" x14ac:dyDescent="0.25">
      <c r="A4" t="s">
        <v>83</v>
      </c>
      <c r="B4">
        <v>42.278491067193677</v>
      </c>
      <c r="C4">
        <v>39.603282051282044</v>
      </c>
      <c r="D4">
        <v>43.194240000000001</v>
      </c>
      <c r="E4">
        <v>42.234790489510495</v>
      </c>
      <c r="F4">
        <v>43.288413090909103</v>
      </c>
      <c r="G4">
        <v>51.557396078431381</v>
      </c>
      <c r="H4">
        <v>33.628731428571434</v>
      </c>
      <c r="I4">
        <v>46.197196190476191</v>
      </c>
      <c r="J4">
        <v>38.157474858387801</v>
      </c>
      <c r="K4">
        <v>36.645449142857146</v>
      </c>
      <c r="L4">
        <v>43.529789090909091</v>
      </c>
      <c r="M4">
        <v>31.372800000000002</v>
      </c>
    </row>
    <row r="5" spans="1:13" x14ac:dyDescent="0.25">
      <c r="A5" t="s">
        <v>84</v>
      </c>
      <c r="B5">
        <v>42.278491067193677</v>
      </c>
      <c r="C5">
        <v>39.603282051282044</v>
      </c>
      <c r="D5">
        <v>43.194240000000001</v>
      </c>
      <c r="E5">
        <v>42.234790489510495</v>
      </c>
      <c r="F5">
        <v>43.288413090909103</v>
      </c>
      <c r="G5">
        <v>51.557396078431381</v>
      </c>
      <c r="H5">
        <v>33.628731428571434</v>
      </c>
      <c r="I5">
        <v>46.197196190476191</v>
      </c>
      <c r="J5">
        <v>38.157474858387801</v>
      </c>
      <c r="K5">
        <v>36.645449142857146</v>
      </c>
      <c r="L5">
        <v>43.529789090909091</v>
      </c>
      <c r="M5">
        <v>31.372800000000002</v>
      </c>
    </row>
    <row r="6" spans="1:13" x14ac:dyDescent="0.25">
      <c r="A6" t="s">
        <v>85</v>
      </c>
      <c r="B6">
        <v>42.278491067193677</v>
      </c>
      <c r="C6">
        <v>39.603282051282044</v>
      </c>
      <c r="D6">
        <v>43.194240000000001</v>
      </c>
      <c r="E6">
        <v>42.234790489510495</v>
      </c>
      <c r="F6">
        <v>43.288413090909103</v>
      </c>
      <c r="G6">
        <v>51.557396078431381</v>
      </c>
      <c r="H6">
        <v>33.628731428571434</v>
      </c>
      <c r="I6">
        <v>46.197196190476191</v>
      </c>
      <c r="J6">
        <v>38.157474858387801</v>
      </c>
      <c r="K6">
        <v>36.645449142857146</v>
      </c>
      <c r="L6">
        <v>43.529789090909091</v>
      </c>
      <c r="M6">
        <v>31.372800000000002</v>
      </c>
    </row>
    <row r="7" spans="1:13" x14ac:dyDescent="0.25">
      <c r="A7" t="s">
        <v>86</v>
      </c>
      <c r="B7">
        <v>42.278491067193677</v>
      </c>
      <c r="C7">
        <v>39.603282051282044</v>
      </c>
      <c r="D7">
        <v>43.194240000000001</v>
      </c>
      <c r="E7">
        <v>42.234790489510495</v>
      </c>
      <c r="F7">
        <v>43.288413090909103</v>
      </c>
      <c r="G7">
        <v>51.557396078431381</v>
      </c>
      <c r="H7">
        <v>33.628731428571434</v>
      </c>
      <c r="I7">
        <v>46.197196190476191</v>
      </c>
      <c r="J7">
        <v>38.157474858387801</v>
      </c>
      <c r="K7">
        <v>36.645449142857146</v>
      </c>
      <c r="L7">
        <v>43.529789090909091</v>
      </c>
      <c r="M7">
        <v>31.372800000000002</v>
      </c>
    </row>
    <row r="8" spans="1:13" x14ac:dyDescent="0.25">
      <c r="A8" t="s">
        <v>87</v>
      </c>
      <c r="B8">
        <v>42.278491067193677</v>
      </c>
      <c r="C8">
        <v>39.603282051282044</v>
      </c>
      <c r="D8">
        <v>43.194240000000001</v>
      </c>
      <c r="E8">
        <v>42.234790489510495</v>
      </c>
      <c r="F8">
        <v>43.288413090909103</v>
      </c>
      <c r="G8">
        <v>51.557396078431381</v>
      </c>
      <c r="H8">
        <v>33.628731428571434</v>
      </c>
      <c r="I8">
        <v>46.197196190476191</v>
      </c>
      <c r="J8">
        <v>38.157474858387801</v>
      </c>
      <c r="K8">
        <v>36.645449142857146</v>
      </c>
      <c r="L8">
        <v>43.529789090909091</v>
      </c>
      <c r="M8">
        <v>31.372800000000002</v>
      </c>
    </row>
    <row r="9" spans="1:13" x14ac:dyDescent="0.25">
      <c r="A9" t="s">
        <v>88</v>
      </c>
      <c r="B9">
        <v>42.278491067193677</v>
      </c>
      <c r="C9">
        <v>39.603282051282044</v>
      </c>
      <c r="D9">
        <v>43.194240000000001</v>
      </c>
      <c r="E9">
        <v>42.234790489510495</v>
      </c>
      <c r="F9">
        <v>43.288413090909103</v>
      </c>
      <c r="G9">
        <v>51.557396078431381</v>
      </c>
      <c r="H9">
        <v>33.628731428571434</v>
      </c>
      <c r="I9">
        <v>46.197196190476191</v>
      </c>
      <c r="J9">
        <v>38.157474858387801</v>
      </c>
      <c r="K9">
        <v>36.645449142857146</v>
      </c>
      <c r="L9">
        <v>43.529789090909091</v>
      </c>
      <c r="M9">
        <v>31.372800000000002</v>
      </c>
    </row>
    <row r="10" spans="1:13" x14ac:dyDescent="0.25">
      <c r="A10" t="s">
        <v>89</v>
      </c>
      <c r="B10">
        <v>42.278491067193677</v>
      </c>
      <c r="C10">
        <v>39.603282051282044</v>
      </c>
      <c r="D10">
        <v>43.194240000000001</v>
      </c>
      <c r="E10">
        <v>42.234790489510495</v>
      </c>
      <c r="F10">
        <v>43.288413090909103</v>
      </c>
      <c r="G10">
        <v>51.557396078431381</v>
      </c>
      <c r="H10">
        <v>33.628731428571434</v>
      </c>
      <c r="I10">
        <v>46.197196190476191</v>
      </c>
      <c r="J10">
        <v>38.157474858387801</v>
      </c>
      <c r="K10">
        <v>36.645449142857146</v>
      </c>
      <c r="L10">
        <v>43.529789090909091</v>
      </c>
      <c r="M10">
        <v>31.372800000000002</v>
      </c>
    </row>
    <row r="11" spans="1:13" x14ac:dyDescent="0.25">
      <c r="A11" t="s">
        <v>90</v>
      </c>
      <c r="B11">
        <v>42.278491067193677</v>
      </c>
      <c r="C11">
        <v>39.603282051282044</v>
      </c>
      <c r="D11">
        <v>43.194240000000001</v>
      </c>
      <c r="E11">
        <v>42.234790489510495</v>
      </c>
      <c r="F11">
        <v>43.288413090909103</v>
      </c>
      <c r="G11">
        <v>51.557396078431381</v>
      </c>
      <c r="H11">
        <v>33.628731428571434</v>
      </c>
      <c r="I11">
        <v>46.197196190476191</v>
      </c>
      <c r="J11">
        <v>38.157474858387801</v>
      </c>
      <c r="K11">
        <v>36.645449142857146</v>
      </c>
      <c r="L11">
        <v>43.529789090909091</v>
      </c>
      <c r="M11">
        <v>31.372800000000002</v>
      </c>
    </row>
    <row r="12" spans="1:13" x14ac:dyDescent="0.25">
      <c r="A12" t="s">
        <v>91</v>
      </c>
      <c r="B12">
        <v>42.278491067193677</v>
      </c>
      <c r="C12">
        <v>39.603282051282044</v>
      </c>
      <c r="D12">
        <v>43.194240000000001</v>
      </c>
      <c r="E12">
        <v>42.234790489510495</v>
      </c>
      <c r="F12">
        <v>43.288413090909103</v>
      </c>
      <c r="G12">
        <v>51.557396078431381</v>
      </c>
      <c r="H12">
        <v>33.628731428571434</v>
      </c>
      <c r="I12">
        <v>46.197196190476191</v>
      </c>
      <c r="J12">
        <v>38.157474858387801</v>
      </c>
      <c r="K12">
        <v>36.645449142857146</v>
      </c>
      <c r="L12">
        <v>43.529789090909091</v>
      </c>
      <c r="M12">
        <v>31.372800000000002</v>
      </c>
    </row>
    <row r="13" spans="1:13" x14ac:dyDescent="0.25">
      <c r="A13" t="s">
        <v>92</v>
      </c>
      <c r="B13">
        <v>42.278491067193677</v>
      </c>
      <c r="C13">
        <v>39.603282051282044</v>
      </c>
      <c r="D13">
        <v>43.194240000000001</v>
      </c>
      <c r="E13">
        <v>42.234790489510495</v>
      </c>
      <c r="F13">
        <v>43.288413090909103</v>
      </c>
      <c r="G13">
        <v>51.557396078431381</v>
      </c>
      <c r="H13">
        <v>33.628731428571434</v>
      </c>
      <c r="I13">
        <v>46.197196190476191</v>
      </c>
      <c r="J13">
        <v>38.157474858387801</v>
      </c>
      <c r="K13">
        <v>36.645449142857146</v>
      </c>
      <c r="L13">
        <v>43.529789090909091</v>
      </c>
      <c r="M13">
        <v>31.372800000000002</v>
      </c>
    </row>
    <row r="14" spans="1:13" x14ac:dyDescent="0.25">
      <c r="A14" t="s">
        <v>93</v>
      </c>
      <c r="B14">
        <v>42.278491067193677</v>
      </c>
      <c r="C14">
        <v>39.603282051282044</v>
      </c>
      <c r="D14">
        <v>43.194240000000001</v>
      </c>
      <c r="E14">
        <v>42.234790489510495</v>
      </c>
      <c r="F14">
        <v>43.288413090909103</v>
      </c>
      <c r="G14">
        <v>51.557396078431381</v>
      </c>
      <c r="H14">
        <v>33.628731428571434</v>
      </c>
      <c r="I14">
        <v>46.197196190476191</v>
      </c>
      <c r="J14">
        <v>38.157474858387801</v>
      </c>
      <c r="K14">
        <v>36.645449142857146</v>
      </c>
      <c r="L14">
        <v>43.529789090909091</v>
      </c>
      <c r="M14">
        <v>31.372800000000002</v>
      </c>
    </row>
    <row r="15" spans="1:13" x14ac:dyDescent="0.25">
      <c r="A15" t="s">
        <v>94</v>
      </c>
      <c r="B15">
        <v>42.278491067193677</v>
      </c>
      <c r="C15">
        <v>39.603282051282044</v>
      </c>
      <c r="D15">
        <v>43.194240000000001</v>
      </c>
      <c r="E15">
        <v>42.234790489510495</v>
      </c>
      <c r="F15">
        <v>43.288413090909103</v>
      </c>
      <c r="G15">
        <v>51.557396078431381</v>
      </c>
      <c r="H15">
        <v>33.628731428571434</v>
      </c>
      <c r="I15">
        <v>46.197196190476191</v>
      </c>
      <c r="J15">
        <v>38.157474858387801</v>
      </c>
      <c r="K15">
        <v>36.645449142857146</v>
      </c>
      <c r="L15">
        <v>43.529789090909091</v>
      </c>
      <c r="M15">
        <v>31.372800000000002</v>
      </c>
    </row>
    <row r="16" spans="1:13" x14ac:dyDescent="0.25">
      <c r="A16" t="s">
        <v>95</v>
      </c>
      <c r="B16">
        <v>42.278491067193677</v>
      </c>
      <c r="C16">
        <v>39.603282051282044</v>
      </c>
      <c r="D16">
        <v>43.194240000000001</v>
      </c>
      <c r="E16">
        <v>42.234790489510495</v>
      </c>
      <c r="F16">
        <v>43.288413090909103</v>
      </c>
      <c r="G16">
        <v>51.557396078431381</v>
      </c>
      <c r="H16">
        <v>33.628731428571434</v>
      </c>
      <c r="I16">
        <v>46.197196190476191</v>
      </c>
      <c r="J16">
        <v>38.157474858387801</v>
      </c>
      <c r="K16">
        <v>36.645449142857146</v>
      </c>
      <c r="L16">
        <v>43.529789090909091</v>
      </c>
      <c r="M16">
        <v>31.372800000000002</v>
      </c>
    </row>
    <row r="17" spans="1:13" x14ac:dyDescent="0.25">
      <c r="A17" t="s">
        <v>96</v>
      </c>
      <c r="B17">
        <v>42.278491067193677</v>
      </c>
      <c r="C17">
        <v>39.603282051282044</v>
      </c>
      <c r="D17">
        <v>43.194240000000001</v>
      </c>
      <c r="E17">
        <v>42.234790489510495</v>
      </c>
      <c r="F17">
        <v>43.288413090909103</v>
      </c>
      <c r="G17">
        <v>51.557396078431381</v>
      </c>
      <c r="H17">
        <v>33.628731428571434</v>
      </c>
      <c r="I17">
        <v>46.197196190476191</v>
      </c>
      <c r="J17">
        <v>38.157474858387801</v>
      </c>
      <c r="K17">
        <v>36.645449142857146</v>
      </c>
      <c r="L17">
        <v>43.529789090909091</v>
      </c>
      <c r="M17">
        <v>31.372800000000002</v>
      </c>
    </row>
    <row r="18" spans="1:13" x14ac:dyDescent="0.25">
      <c r="A18" t="s">
        <v>97</v>
      </c>
      <c r="B18">
        <v>42.278491067193677</v>
      </c>
      <c r="C18">
        <v>39.603282051282044</v>
      </c>
      <c r="D18">
        <v>43.194240000000001</v>
      </c>
      <c r="E18">
        <v>42.234790489510495</v>
      </c>
      <c r="F18">
        <v>43.288413090909103</v>
      </c>
      <c r="G18">
        <v>51.557396078431381</v>
      </c>
      <c r="H18">
        <v>33.628731428571434</v>
      </c>
      <c r="I18">
        <v>46.197196190476191</v>
      </c>
      <c r="J18">
        <v>38.157474858387801</v>
      </c>
      <c r="K18">
        <v>36.645449142857146</v>
      </c>
      <c r="L18">
        <v>43.529789090909091</v>
      </c>
      <c r="M18">
        <v>31.372800000000002</v>
      </c>
    </row>
    <row r="19" spans="1:13" x14ac:dyDescent="0.25">
      <c r="A19" t="s">
        <v>98</v>
      </c>
      <c r="B19">
        <v>42.278491067193677</v>
      </c>
      <c r="C19">
        <v>39.603282051282044</v>
      </c>
      <c r="D19">
        <v>43.194240000000001</v>
      </c>
      <c r="E19">
        <v>42.234790489510495</v>
      </c>
      <c r="F19">
        <v>43.288413090909103</v>
      </c>
      <c r="G19">
        <v>51.557396078431381</v>
      </c>
      <c r="H19">
        <v>33.628731428571434</v>
      </c>
      <c r="I19">
        <v>46.197196190476191</v>
      </c>
      <c r="J19">
        <v>38.157474858387801</v>
      </c>
      <c r="K19">
        <v>36.645449142857146</v>
      </c>
      <c r="L19">
        <v>43.529789090909091</v>
      </c>
      <c r="M19">
        <v>31.372800000000002</v>
      </c>
    </row>
    <row r="20" spans="1:13" x14ac:dyDescent="0.25">
      <c r="A20" t="s">
        <v>99</v>
      </c>
      <c r="B20">
        <v>42.278491067193677</v>
      </c>
      <c r="C20">
        <v>39.603282051282044</v>
      </c>
      <c r="D20">
        <v>43.194240000000001</v>
      </c>
      <c r="E20">
        <v>42.234790489510495</v>
      </c>
      <c r="F20">
        <v>43.288413090909103</v>
      </c>
      <c r="G20">
        <v>51.557396078431381</v>
      </c>
      <c r="H20">
        <v>33.628731428571434</v>
      </c>
      <c r="I20">
        <v>46.197196190476191</v>
      </c>
      <c r="J20">
        <v>38.157474858387801</v>
      </c>
      <c r="K20">
        <v>36.645449142857146</v>
      </c>
      <c r="L20">
        <v>43.529789090909091</v>
      </c>
      <c r="M20">
        <v>31.372800000000002</v>
      </c>
    </row>
    <row r="21" spans="1:13" x14ac:dyDescent="0.25">
      <c r="A21" t="s">
        <v>100</v>
      </c>
      <c r="B21">
        <v>42.278491067193677</v>
      </c>
      <c r="C21">
        <v>39.603282051282044</v>
      </c>
      <c r="D21">
        <v>43.194240000000001</v>
      </c>
      <c r="E21">
        <v>42.234790489510495</v>
      </c>
      <c r="F21">
        <v>43.288413090909103</v>
      </c>
      <c r="G21">
        <v>51.557396078431381</v>
      </c>
      <c r="H21">
        <v>33.628731428571434</v>
      </c>
      <c r="I21">
        <v>46.197196190476191</v>
      </c>
      <c r="J21">
        <v>38.157474858387801</v>
      </c>
      <c r="K21">
        <v>36.645449142857146</v>
      </c>
      <c r="L21">
        <v>43.529789090909091</v>
      </c>
      <c r="M21">
        <v>31.372800000000002</v>
      </c>
    </row>
    <row r="22" spans="1:13" x14ac:dyDescent="0.25">
      <c r="A22" t="s">
        <v>101</v>
      </c>
      <c r="B22">
        <v>42.278491067193677</v>
      </c>
      <c r="C22">
        <v>39.603282051282044</v>
      </c>
      <c r="D22">
        <v>43.194240000000001</v>
      </c>
      <c r="E22">
        <v>42.234790489510495</v>
      </c>
      <c r="F22">
        <v>43.288413090909103</v>
      </c>
      <c r="G22">
        <v>51.557396078431381</v>
      </c>
      <c r="H22">
        <v>33.628731428571434</v>
      </c>
      <c r="I22">
        <v>46.197196190476191</v>
      </c>
      <c r="J22">
        <v>38.157474858387801</v>
      </c>
      <c r="K22">
        <v>36.645449142857146</v>
      </c>
      <c r="L22">
        <v>43.529789090909091</v>
      </c>
      <c r="M22">
        <v>31.372800000000002</v>
      </c>
    </row>
    <row r="23" spans="1:13" x14ac:dyDescent="0.25">
      <c r="A23" t="s">
        <v>102</v>
      </c>
      <c r="B23">
        <v>42.278491067193677</v>
      </c>
      <c r="C23">
        <v>39.603282051282044</v>
      </c>
      <c r="D23">
        <v>43.194240000000001</v>
      </c>
      <c r="E23">
        <v>42.234790489510495</v>
      </c>
      <c r="F23">
        <v>43.288413090909103</v>
      </c>
      <c r="G23">
        <v>51.557396078431381</v>
      </c>
      <c r="H23">
        <v>33.628731428571434</v>
      </c>
      <c r="I23">
        <v>46.197196190476191</v>
      </c>
      <c r="J23">
        <v>38.157474858387801</v>
      </c>
      <c r="K23">
        <v>36.645449142857146</v>
      </c>
      <c r="L23">
        <v>43.529789090909091</v>
      </c>
      <c r="M23">
        <v>31.372800000000002</v>
      </c>
    </row>
    <row r="24" spans="1:13" x14ac:dyDescent="0.25">
      <c r="A24" t="s">
        <v>103</v>
      </c>
      <c r="B24">
        <v>42.278491067193677</v>
      </c>
      <c r="C24">
        <v>39.603282051282044</v>
      </c>
      <c r="D24">
        <v>43.194240000000001</v>
      </c>
      <c r="E24">
        <v>42.234790489510495</v>
      </c>
      <c r="F24">
        <v>43.288413090909103</v>
      </c>
      <c r="G24">
        <v>51.557396078431381</v>
      </c>
      <c r="H24">
        <v>33.628731428571434</v>
      </c>
      <c r="I24">
        <v>46.197196190476191</v>
      </c>
      <c r="J24">
        <v>38.157474858387801</v>
      </c>
      <c r="K24">
        <v>36.645449142857146</v>
      </c>
      <c r="L24">
        <v>43.529789090909091</v>
      </c>
      <c r="M24">
        <v>31.372800000000002</v>
      </c>
    </row>
    <row r="25" spans="1:13" x14ac:dyDescent="0.25">
      <c r="A25" t="s">
        <v>104</v>
      </c>
      <c r="B25">
        <v>42.278491067193677</v>
      </c>
      <c r="C25">
        <v>39.603282051282044</v>
      </c>
      <c r="D25">
        <v>43.194240000000001</v>
      </c>
      <c r="E25">
        <v>42.234790489510495</v>
      </c>
      <c r="F25">
        <v>43.288413090909103</v>
      </c>
      <c r="G25">
        <v>51.557396078431381</v>
      </c>
      <c r="H25">
        <v>33.628731428571434</v>
      </c>
      <c r="I25">
        <v>46.197196190476191</v>
      </c>
      <c r="J25">
        <v>38.157474858387801</v>
      </c>
      <c r="K25">
        <v>36.645449142857146</v>
      </c>
      <c r="L25">
        <v>43.529789090909091</v>
      </c>
      <c r="M25">
        <v>31.372800000000002</v>
      </c>
    </row>
    <row r="27" spans="1:13" x14ac:dyDescent="0.25">
      <c r="A27" s="1" t="s">
        <v>105</v>
      </c>
      <c r="B27" s="1"/>
      <c r="C27" s="1"/>
      <c r="D27" s="1"/>
    </row>
    <row r="28" spans="1:13" x14ac:dyDescent="0.25">
      <c r="A28" t="s">
        <v>0</v>
      </c>
      <c r="B28">
        <v>61.797469090909097</v>
      </c>
      <c r="C28">
        <f>AVERAGE(B28,B40)</f>
        <v>42.278491067193677</v>
      </c>
      <c r="D28">
        <v>42.278491067193677</v>
      </c>
    </row>
    <row r="29" spans="1:13" x14ac:dyDescent="0.25">
      <c r="A29" t="s">
        <v>1</v>
      </c>
      <c r="B29">
        <v>45.028430769230766</v>
      </c>
      <c r="C29">
        <f t="shared" ref="C29:C38" si="0">AVERAGE(B29,B41)</f>
        <v>39.603282051282044</v>
      </c>
      <c r="D29">
        <v>39.603282051282044</v>
      </c>
    </row>
    <row r="30" spans="1:13" x14ac:dyDescent="0.25">
      <c r="A30" t="s">
        <v>2</v>
      </c>
      <c r="B30">
        <v>50.307839999999999</v>
      </c>
      <c r="C30">
        <f t="shared" si="0"/>
        <v>43.194240000000001</v>
      </c>
      <c r="D30">
        <v>43.194240000000001</v>
      </c>
    </row>
    <row r="31" spans="1:13" x14ac:dyDescent="0.25">
      <c r="A31" t="s">
        <v>3</v>
      </c>
      <c r="B31">
        <v>59.45698461538462</v>
      </c>
      <c r="C31">
        <f t="shared" si="0"/>
        <v>42.234790489510495</v>
      </c>
      <c r="D31">
        <v>42.234790489510495</v>
      </c>
    </row>
    <row r="32" spans="1:13" x14ac:dyDescent="0.25">
      <c r="A32" t="s">
        <v>4</v>
      </c>
      <c r="B32">
        <v>62.236858181818192</v>
      </c>
      <c r="C32">
        <f t="shared" si="0"/>
        <v>43.288413090909103</v>
      </c>
      <c r="D32">
        <v>43.288413090909103</v>
      </c>
    </row>
    <row r="33" spans="1:4" x14ac:dyDescent="0.25">
      <c r="A33" t="s">
        <v>5</v>
      </c>
      <c r="B33">
        <v>59.610453333333346</v>
      </c>
      <c r="C33">
        <f t="shared" si="0"/>
        <v>51.557396078431381</v>
      </c>
      <c r="D33">
        <v>51.557396078431381</v>
      </c>
    </row>
    <row r="34" spans="1:4" x14ac:dyDescent="0.25">
      <c r="A34" t="s">
        <v>6</v>
      </c>
      <c r="B34">
        <v>38.944182857142863</v>
      </c>
      <c r="C34">
        <f t="shared" si="0"/>
        <v>33.628731428571434</v>
      </c>
      <c r="D34">
        <v>33.628731428571434</v>
      </c>
    </row>
    <row r="35" spans="1:4" x14ac:dyDescent="0.25">
      <c r="A35" t="s">
        <v>7</v>
      </c>
      <c r="B35">
        <v>59.343786666666666</v>
      </c>
      <c r="C35">
        <f t="shared" si="0"/>
        <v>46.197196190476191</v>
      </c>
      <c r="D35">
        <v>46.197196190476191</v>
      </c>
    </row>
    <row r="36" spans="1:4" x14ac:dyDescent="0.25">
      <c r="A36" t="s">
        <v>8</v>
      </c>
      <c r="B36">
        <v>44.018748235294126</v>
      </c>
      <c r="C36">
        <f t="shared" si="0"/>
        <v>38.157474858387801</v>
      </c>
      <c r="D36">
        <v>38.157474858387801</v>
      </c>
    </row>
    <row r="37" spans="1:4" x14ac:dyDescent="0.25">
      <c r="A37" t="s">
        <v>9</v>
      </c>
      <c r="B37">
        <v>48.47616</v>
      </c>
      <c r="C37">
        <f t="shared" si="0"/>
        <v>36.645449142857146</v>
      </c>
      <c r="D37">
        <v>36.645449142857146</v>
      </c>
    </row>
    <row r="38" spans="1:4" x14ac:dyDescent="0.25">
      <c r="A38" t="s">
        <v>10</v>
      </c>
      <c r="B38">
        <v>62.408639999999998</v>
      </c>
      <c r="C38">
        <f t="shared" si="0"/>
        <v>43.529789090909091</v>
      </c>
      <c r="D38">
        <v>43.529789090909091</v>
      </c>
    </row>
    <row r="39" spans="1:4" x14ac:dyDescent="0.25">
      <c r="A39" t="s">
        <v>11</v>
      </c>
      <c r="B39">
        <v>33.684480000000001</v>
      </c>
      <c r="C39">
        <f>AVERAGE(B39,B51)</f>
        <v>31.372800000000002</v>
      </c>
      <c r="D39">
        <v>31.372800000000002</v>
      </c>
    </row>
    <row r="40" spans="1:4" x14ac:dyDescent="0.25">
      <c r="A40" t="s">
        <v>0</v>
      </c>
      <c r="B40">
        <v>22.759513043478261</v>
      </c>
    </row>
    <row r="41" spans="1:4" x14ac:dyDescent="0.25">
      <c r="A41" t="s">
        <v>1</v>
      </c>
      <c r="B41">
        <v>34.178133333333321</v>
      </c>
    </row>
    <row r="42" spans="1:4" x14ac:dyDescent="0.25">
      <c r="A42" t="s">
        <v>2</v>
      </c>
      <c r="B42">
        <v>36.080640000000002</v>
      </c>
    </row>
    <row r="43" spans="1:4" x14ac:dyDescent="0.25">
      <c r="A43" t="s">
        <v>3</v>
      </c>
      <c r="B43">
        <v>25.012596363636366</v>
      </c>
    </row>
    <row r="44" spans="1:4" x14ac:dyDescent="0.25">
      <c r="A44" t="s">
        <v>4</v>
      </c>
      <c r="B44">
        <v>24.339968000000006</v>
      </c>
    </row>
    <row r="45" spans="1:4" x14ac:dyDescent="0.25">
      <c r="A45" t="s">
        <v>5</v>
      </c>
      <c r="B45">
        <v>43.504338823529416</v>
      </c>
    </row>
    <row r="46" spans="1:4" x14ac:dyDescent="0.25">
      <c r="A46" t="s">
        <v>6</v>
      </c>
      <c r="B46">
        <v>28.313280000000006</v>
      </c>
    </row>
    <row r="47" spans="1:4" x14ac:dyDescent="0.25">
      <c r="A47" t="s">
        <v>7</v>
      </c>
      <c r="B47">
        <v>33.050605714285716</v>
      </c>
    </row>
    <row r="48" spans="1:4" x14ac:dyDescent="0.25">
      <c r="A48" t="s">
        <v>8</v>
      </c>
      <c r="B48">
        <v>32.296201481481482</v>
      </c>
    </row>
    <row r="49" spans="1:2" x14ac:dyDescent="0.25">
      <c r="A49" t="s">
        <v>9</v>
      </c>
      <c r="B49">
        <v>24.814738285714288</v>
      </c>
    </row>
    <row r="50" spans="1:2" x14ac:dyDescent="0.25">
      <c r="A50" t="s">
        <v>10</v>
      </c>
      <c r="B50">
        <v>24.650938181818184</v>
      </c>
    </row>
    <row r="51" spans="1:2" x14ac:dyDescent="0.25">
      <c r="A51" t="s">
        <v>11</v>
      </c>
      <c r="B51">
        <v>29.061120000000003</v>
      </c>
    </row>
  </sheetData>
  <mergeCells count="1">
    <mergeCell ref="A27:D2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7E196-2B2C-406B-9990-80A6E1DFDD0B}">
  <dimension ref="A1:O25"/>
  <sheetViews>
    <sheetView tabSelected="1" workbookViewId="0">
      <selection activeCell="A15" sqref="A15:O15"/>
    </sheetView>
  </sheetViews>
  <sheetFormatPr defaultRowHeight="13.8" x14ac:dyDescent="0.25"/>
  <sheetData>
    <row r="1" spans="1:15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5" x14ac:dyDescent="0.25">
      <c r="A2" t="s">
        <v>81</v>
      </c>
      <c r="B2">
        <f>AMFsr!B2*AMF_root!B2</f>
        <v>1.4099876770909091E-3</v>
      </c>
      <c r="C2">
        <f>AMFsr!C2*AMF_root!C2</f>
        <v>0</v>
      </c>
      <c r="D2">
        <f>AMFsr!D2*AMF_root!D2</f>
        <v>7.2134380799999996E-4</v>
      </c>
      <c r="E2">
        <f>AMFsr!E2*AMF_root!E2</f>
        <v>9.1603248266651748E-3</v>
      </c>
      <c r="F2">
        <f>AMFsr!F2*AMF_root!F2</f>
        <v>0</v>
      </c>
      <c r="G2">
        <f>AMFsr!G2*AMF_root!G2</f>
        <v>6.0220843128470595E-3</v>
      </c>
      <c r="H2">
        <f>AMFsr!H2*AMF_root!H2</f>
        <v>2.3003397446400006E-2</v>
      </c>
      <c r="I2">
        <f>AMFsr!I2*AMF_root!I2</f>
        <v>6.1659998318979045E-2</v>
      </c>
      <c r="J2">
        <f>AMFsr!J2*AMF_root!J2</f>
        <v>9.0399446049129403E-2</v>
      </c>
      <c r="K2">
        <f>AMFsr!K2*AMF_root!K2</f>
        <v>3.4237788165997721E-2</v>
      </c>
      <c r="L2">
        <f>AMFsr!L2*AMF_root!L2</f>
        <v>3.7037821640574543E-2</v>
      </c>
      <c r="M2">
        <f>AMFsr!M2*AMF_root!M2</f>
        <v>8.5840467110400012E-2</v>
      </c>
    </row>
    <row r="3" spans="1:15" x14ac:dyDescent="0.25">
      <c r="A3" t="s">
        <v>82</v>
      </c>
      <c r="B3">
        <f>AMFsr!B3*AMF_root!B3</f>
        <v>2.3276465535534547E-2</v>
      </c>
      <c r="C3">
        <f>AMFsr!C3*AMF_root!C3</f>
        <v>2.0482876881846149E-2</v>
      </c>
      <c r="D3">
        <f>AMFsr!D3*AMF_root!D3</f>
        <v>1.4426876159999999E-3</v>
      </c>
      <c r="E3">
        <f>AMFsr!E3*AMF_root!E3</f>
        <v>7.0532100117482528E-4</v>
      </c>
      <c r="F3">
        <f>AMFsr!F3*AMF_root!F3</f>
        <v>9.388867203700366E-3</v>
      </c>
      <c r="G3">
        <f>AMFsr!G3*AMF_root!G3</f>
        <v>0</v>
      </c>
      <c r="H3">
        <f>AMFsr!H3*AMF_root!H3</f>
        <v>0</v>
      </c>
      <c r="I3">
        <f>AMFsr!I3*AMF_root!I3</f>
        <v>0</v>
      </c>
      <c r="J3">
        <f>AMFsr!J3*AMF_root!J3</f>
        <v>6.3722983013507625E-4</v>
      </c>
      <c r="K3">
        <f>AMFsr!K3*AMF_root!K3</f>
        <v>0</v>
      </c>
      <c r="L3">
        <f>AMFsr!L3*AMF_root!L3</f>
        <v>0</v>
      </c>
      <c r="M3">
        <f>AMFsr!M3*AMF_root!M3</f>
        <v>1.5702556992E-3</v>
      </c>
    </row>
    <row r="4" spans="1:15" x14ac:dyDescent="0.25">
      <c r="A4" t="s">
        <v>83</v>
      </c>
      <c r="B4">
        <f>AMFsr!B4*AMF_root!B4</f>
        <v>1.7796501922180554</v>
      </c>
      <c r="C4">
        <f>AMFsr!C4*AMF_root!C4</f>
        <v>12.795841717533332</v>
      </c>
      <c r="D4">
        <f>AMFsr!D4*AMF_root!D4</f>
        <v>7.2134380799999996E-4</v>
      </c>
      <c r="E4">
        <f>AMFsr!E4*AMF_root!E4</f>
        <v>7.0456711016458748E-3</v>
      </c>
      <c r="F4">
        <f>AMFsr!F4*AMF_root!F4</f>
        <v>2.9560465136885301</v>
      </c>
      <c r="G4">
        <f>AMFsr!G4*AMF_root!G4</f>
        <v>8.6017844043294132E-3</v>
      </c>
      <c r="H4">
        <f>AMFsr!H4*AMF_root!H4</f>
        <v>5.6105839228114294E-3</v>
      </c>
      <c r="I4">
        <f>AMFsr!I4*AMF_root!I4</f>
        <v>1.3102749065318095E-2</v>
      </c>
      <c r="J4">
        <f>AMFsr!J4*AMF_root!J4</f>
        <v>1.2725517865272331E-3</v>
      </c>
      <c r="K4">
        <f>AMFsr!K4*AMF_root!K4</f>
        <v>5.5024974160457147E-3</v>
      </c>
      <c r="L4">
        <f>AMFsr!L4*AMF_root!L4</f>
        <v>1.451718466181818E-3</v>
      </c>
      <c r="M4">
        <f>AMFsr!M4*AMF_root!M4</f>
        <v>3.66395088E-3</v>
      </c>
    </row>
    <row r="5" spans="1:15" x14ac:dyDescent="0.25">
      <c r="A5" t="s">
        <v>84</v>
      </c>
      <c r="B5">
        <f>AMFsr!B5*AMF_root!B5</f>
        <v>0</v>
      </c>
      <c r="C5">
        <f>AMFsr!C5*AMF_root!C5</f>
        <v>5.946630816410255E-3</v>
      </c>
      <c r="D5">
        <f>AMFsr!D5*AMF_root!D5</f>
        <v>0</v>
      </c>
      <c r="E5">
        <f>AMFsr!E5*AMF_root!E5</f>
        <v>4.5097042240984618E-2</v>
      </c>
      <c r="F5">
        <f>AMFsr!F5*AMF_root!F5</f>
        <v>0</v>
      </c>
      <c r="G5">
        <f>AMFsr!G5*AMF_root!G5</f>
        <v>8.6100851450980403E-4</v>
      </c>
      <c r="H5">
        <f>AMFsr!H5*AMF_root!H5</f>
        <v>2.3199773768726404</v>
      </c>
      <c r="I5">
        <f>AMFsr!I5*AMF_root!I5</f>
        <v>6.1667482264761908E-3</v>
      </c>
      <c r="J5">
        <f>AMFsr!J5*AMF_root!J5</f>
        <v>1.2095690585259783E-2</v>
      </c>
      <c r="K5">
        <f>AMFsr!K5*AMF_root!K5</f>
        <v>0</v>
      </c>
      <c r="L5">
        <f>AMFsr!L5*AMF_root!L5</f>
        <v>1.0167448722014544E-2</v>
      </c>
      <c r="M5">
        <f>AMFsr!M5*AMF_root!M5</f>
        <v>7.8513098688000015E-3</v>
      </c>
    </row>
    <row r="6" spans="1:15" x14ac:dyDescent="0.25">
      <c r="A6" t="s">
        <v>85</v>
      </c>
      <c r="B6">
        <f>AMFsr!B6*AMF_root!B6</f>
        <v>0.76321077112459645</v>
      </c>
      <c r="C6">
        <f>AMFsr!C6*AMF_root!C6</f>
        <v>6.4441724724865637</v>
      </c>
      <c r="D6">
        <f>AMFsr!D6*AMF_root!D6</f>
        <v>14.79779980651872</v>
      </c>
      <c r="E6">
        <f>AMFsr!E6*AMF_root!E6</f>
        <v>0.27340083442401569</v>
      </c>
      <c r="F6">
        <f>AMFsr!F6*AMF_root!F6</f>
        <v>0.30766564305119426</v>
      </c>
      <c r="G6">
        <f>AMFsr!G6*AMF_root!G6</f>
        <v>9.0516613789394835</v>
      </c>
      <c r="H6">
        <f>AMFsr!H6*AMF_root!H6</f>
        <v>0.85449226100574871</v>
      </c>
      <c r="I6">
        <f>AMFsr!I6*AMF_root!I6</f>
        <v>4.4518503264044957</v>
      </c>
      <c r="J6">
        <f>AMFsr!J6*AMF_root!J6</f>
        <v>6.1382490695524163</v>
      </c>
      <c r="K6">
        <f>AMFsr!K6*AMF_root!K6</f>
        <v>7.9443919851672149</v>
      </c>
      <c r="L6">
        <f>AMFsr!L6*AMF_root!L6</f>
        <v>9.0032833195851563</v>
      </c>
      <c r="M6">
        <f>AMFsr!M6*AMF_root!M6</f>
        <v>4.2821061310847996</v>
      </c>
    </row>
    <row r="7" spans="1:15" x14ac:dyDescent="0.25">
      <c r="A7" t="s">
        <v>86</v>
      </c>
      <c r="B7">
        <f>AMFsr!B7*AMF_root!B7</f>
        <v>2.8221526964717783E-3</v>
      </c>
      <c r="C7">
        <f>AMFsr!C7*AMF_root!C7</f>
        <v>6.6137481025641009E-4</v>
      </c>
      <c r="D7">
        <f>AMFsr!D7*AMF_root!D7</f>
        <v>0</v>
      </c>
      <c r="E7">
        <f>AMFsr!E7*AMF_root!E7</f>
        <v>6.341764965952448E-3</v>
      </c>
      <c r="F7">
        <f>AMFsr!F7*AMF_root!F7</f>
        <v>3.0333229974714191E-2</v>
      </c>
      <c r="G7">
        <f>AMFsr!G7*AMF_root!G7</f>
        <v>9.4619680005019625E-3</v>
      </c>
      <c r="H7">
        <f>AMFsr!H7*AMF_root!H7</f>
        <v>3.3663537165600005E-3</v>
      </c>
      <c r="I7">
        <f>AMFsr!I7*AMF_root!I7</f>
        <v>2.3121696693333333E-3</v>
      </c>
      <c r="J7">
        <f>AMFsr!J7*AMF_root!J7</f>
        <v>1.909838852874597E-3</v>
      </c>
      <c r="K7">
        <f>AMFsr!K7*AMF_root!K7</f>
        <v>3.2403628468224005E-2</v>
      </c>
      <c r="L7">
        <f>AMFsr!L7*AMF_root!L7</f>
        <v>4.3581807188872732E-3</v>
      </c>
      <c r="M7">
        <f>AMFsr!M7*AMF_root!M7</f>
        <v>1.5702556992E-3</v>
      </c>
    </row>
    <row r="8" spans="1:15" x14ac:dyDescent="0.25">
      <c r="A8" t="s">
        <v>87</v>
      </c>
      <c r="B8">
        <f>AMFsr!B8*AMF_root!B8</f>
        <v>0</v>
      </c>
      <c r="C8">
        <f>AMFsr!C8*AMF_root!C8</f>
        <v>0</v>
      </c>
      <c r="D8">
        <f>AMFsr!D8*AMF_root!D8</f>
        <v>0</v>
      </c>
      <c r="E8">
        <f>AMFsr!E8*AMF_root!E8</f>
        <v>5.2848097695991053E-2</v>
      </c>
      <c r="F8">
        <f>AMFsr!F8*AMF_root!F8</f>
        <v>0</v>
      </c>
      <c r="G8">
        <f>AMFsr!G8*AMF_root!G8</f>
        <v>0</v>
      </c>
      <c r="H8">
        <f>AMFsr!H8*AMF_root!H8</f>
        <v>1.8374669745528345</v>
      </c>
      <c r="I8">
        <f>AMFsr!I8*AMF_root!I8</f>
        <v>7.7074940152228573E-3</v>
      </c>
      <c r="J8">
        <f>AMFsr!J8*AMF_root!J8</f>
        <v>1.3369539725932203E-2</v>
      </c>
      <c r="K8">
        <f>AMFsr!K8*AMF_root!K8</f>
        <v>0</v>
      </c>
      <c r="L8">
        <f>AMFsr!L8*AMF_root!L8</f>
        <v>7.2624664821381822E-3</v>
      </c>
      <c r="M8">
        <f>AMFsr!M8*AMF_root!M8</f>
        <v>2.2507097702399999E-2</v>
      </c>
    </row>
    <row r="9" spans="1:15" x14ac:dyDescent="0.25">
      <c r="A9" t="s">
        <v>88</v>
      </c>
      <c r="B9">
        <f>AMFsr!B9*AMF_root!B9</f>
        <v>0</v>
      </c>
      <c r="C9">
        <f>AMFsr!C9*AMF_root!C9</f>
        <v>5.1537533081025627E-2</v>
      </c>
      <c r="D9">
        <f>AMFsr!D9*AMF_root!D9</f>
        <v>5.7652000041600003E-3</v>
      </c>
      <c r="E9">
        <f>AMFsr!E9*AMF_root!E9</f>
        <v>5.4257388185045045E-2</v>
      </c>
      <c r="F9">
        <f>AMFsr!F9*AMF_root!F9</f>
        <v>1.0833293327511276E-2</v>
      </c>
      <c r="G9">
        <f>AMFsr!G9*AMF_root!G9</f>
        <v>6.5373592407341183E-2</v>
      </c>
      <c r="H9">
        <f>AMFsr!H9*AMF_root!H9</f>
        <v>0.75518490203187438</v>
      </c>
      <c r="I9">
        <f>AMFsr!I9*AMF_root!I9</f>
        <v>5.9347736255253331E-2</v>
      </c>
      <c r="J9">
        <f>AMFsr!J9*AMF_root!J9</f>
        <v>3.1003186997445322</v>
      </c>
      <c r="K9">
        <f>AMFsr!K9*AMF_root!K9</f>
        <v>3.9740303904768001E-2</v>
      </c>
      <c r="L9">
        <f>AMFsr!L9*AMF_root!L9</f>
        <v>6.3205271171915633</v>
      </c>
      <c r="M9">
        <f>AMFsr!M9*AMF_root!M9</f>
        <v>6.8568125011200007E-2</v>
      </c>
    </row>
    <row r="10" spans="1:15" x14ac:dyDescent="0.25">
      <c r="A10" t="s">
        <v>89</v>
      </c>
      <c r="B10">
        <f>AMFsr!B10*AMF_root!B10</f>
        <v>2.4060184249764123</v>
      </c>
      <c r="C10">
        <f>AMFsr!C10*AMF_root!C10</f>
        <v>1.3730124427544612</v>
      </c>
      <c r="D10">
        <f>AMFsr!D10*AMF_root!D10</f>
        <v>2.2527477495791999</v>
      </c>
      <c r="E10">
        <f>AMFsr!E10*AMF_root!E10</f>
        <v>1.6911401399066855E-2</v>
      </c>
      <c r="F10">
        <f>AMFsr!F10*AMF_root!F10</f>
        <v>7.22916498618182E-4</v>
      </c>
      <c r="G10">
        <f>AMFsr!G10*AMF_root!G10</f>
        <v>1.3762860202666668E-2</v>
      </c>
      <c r="H10">
        <f>AMFsr!H10*AMF_root!H10</f>
        <v>0</v>
      </c>
      <c r="I10">
        <f>AMFsr!I10*AMF_root!I10</f>
        <v>0</v>
      </c>
      <c r="J10">
        <f>AMFsr!J10*AMF_root!J10</f>
        <v>4.4563160950239654E-3</v>
      </c>
      <c r="K10">
        <f>AMFsr!K10*AMF_root!K10</f>
        <v>0</v>
      </c>
      <c r="L10">
        <f>AMFsr!L10*AMF_root!L10</f>
        <v>0</v>
      </c>
      <c r="M10">
        <f>AMFsr!M10*AMF_root!M10</f>
        <v>0</v>
      </c>
    </row>
    <row r="11" spans="1:15" x14ac:dyDescent="0.25">
      <c r="A11" t="s">
        <v>90</v>
      </c>
      <c r="B11">
        <f>AMFsr!B11*AMF_root!B11</f>
        <v>0</v>
      </c>
      <c r="C11">
        <f>AMFsr!C11*AMF_root!C11</f>
        <v>1.320769456410256E-3</v>
      </c>
      <c r="D11">
        <f>AMFsr!D11*AMF_root!D11</f>
        <v>0</v>
      </c>
      <c r="E11">
        <f>AMFsr!E11*AMF_root!E11</f>
        <v>7.0532100117482528E-4</v>
      </c>
      <c r="F11">
        <f>AMFsr!F11*AMF_root!F11</f>
        <v>3.6103185844014551E-3</v>
      </c>
      <c r="G11">
        <f>AMFsr!G11*AMF_root!G11</f>
        <v>8.6100851450980403E-4</v>
      </c>
      <c r="H11">
        <f>AMFsr!H11*AMF_root!H11</f>
        <v>1.1215181931428573E-3</v>
      </c>
      <c r="I11">
        <f>AMFsr!I11*AMF_root!I11</f>
        <v>0.1279436199200838</v>
      </c>
      <c r="J11">
        <f>AMFsr!J11*AMF_root!J11</f>
        <v>1.2725517865272331E-3</v>
      </c>
      <c r="K11">
        <f>AMFsr!K11*AMF_root!K11</f>
        <v>0</v>
      </c>
      <c r="L11">
        <f>AMFsr!L11*AMF_root!L11</f>
        <v>1.0892937951898182E-2</v>
      </c>
      <c r="M11">
        <f>AMFsr!M11*AMF_root!M11</f>
        <v>1.0462828799999999E-3</v>
      </c>
    </row>
    <row r="12" spans="1:15" x14ac:dyDescent="0.25">
      <c r="A12" t="s">
        <v>91</v>
      </c>
      <c r="B12">
        <f>AMFsr!B12*AMF_root!B12</f>
        <v>1.4099876770909091E-3</v>
      </c>
      <c r="C12">
        <f>AMFsr!C12*AMF_root!C12</f>
        <v>0</v>
      </c>
      <c r="D12">
        <f>AMFsr!D12*AMF_root!D12</f>
        <v>0</v>
      </c>
      <c r="E12">
        <f>AMFsr!E12*AMF_root!E12</f>
        <v>7.0532100117482528E-4</v>
      </c>
      <c r="F12">
        <f>AMFsr!F12*AMF_root!F12</f>
        <v>0</v>
      </c>
      <c r="G12">
        <f>AMFsr!G12*AMF_root!G12</f>
        <v>0</v>
      </c>
      <c r="H12">
        <f>AMFsr!H12*AMF_root!H12</f>
        <v>3.9274154717142866E-3</v>
      </c>
      <c r="I12">
        <f>AMFsr!I12*AMF_root!I12</f>
        <v>1.2331995044076191E-2</v>
      </c>
      <c r="J12">
        <f>AMFsr!J12*AMF_root!J12</f>
        <v>2.5465249389929414E-2</v>
      </c>
      <c r="K12">
        <f>AMFsr!K12*AMF_root!K12</f>
        <v>9.1708351343177154E-3</v>
      </c>
      <c r="L12">
        <f>AMFsr!L12*AMF_root!L12</f>
        <v>1.16199507244E-2</v>
      </c>
      <c r="M12">
        <f>AMFsr!M12*AMF_root!M12</f>
        <v>2.4600777196800001E-2</v>
      </c>
    </row>
    <row r="13" spans="1:15" x14ac:dyDescent="0.25">
      <c r="A13" t="s">
        <v>92</v>
      </c>
      <c r="B13">
        <f>AMFsr!B13*AMF_root!B13</f>
        <v>7.3344414288103517</v>
      </c>
      <c r="C13">
        <f>AMFsr!C13*AMF_root!C13</f>
        <v>4.5286945688756921</v>
      </c>
      <c r="D13">
        <f>AMFsr!D13*AMF_root!D13</f>
        <v>9.7799230883664006</v>
      </c>
      <c r="E13">
        <f>AMFsr!E13*AMF_root!E13</f>
        <v>22.566842403667497</v>
      </c>
      <c r="F13">
        <f>AMFsr!F13*AMF_root!F13</f>
        <v>17.772385947490307</v>
      </c>
      <c r="G13">
        <f>AMFsr!G13*AMF_root!G13</f>
        <v>24.817018140663972</v>
      </c>
      <c r="H13">
        <f>AMFsr!H13*AMF_root!H13</f>
        <v>0.21600756510006863</v>
      </c>
      <c r="I13">
        <f>AMFsr!I13*AMF_root!I13</f>
        <v>0.30675836805942097</v>
      </c>
      <c r="J13">
        <f>AMFsr!J13*AMF_root!J13</f>
        <v>0.28011093217996136</v>
      </c>
      <c r="K13">
        <f>AMFsr!K13*AMF_root!K13</f>
        <v>0.13206008456689372</v>
      </c>
      <c r="L13">
        <f>AMFsr!L13*AMF_root!L13</f>
        <v>6.173098686306909E-2</v>
      </c>
      <c r="M13">
        <f>AMFsr!M13*AMF_root!M13</f>
        <v>0.22559440081920004</v>
      </c>
    </row>
    <row r="14" spans="1:15" x14ac:dyDescent="0.25">
      <c r="A14" t="s">
        <v>93</v>
      </c>
      <c r="B14">
        <f>AMFsr!B14*AMF_root!B14</f>
        <v>2.1161018956496443E-3</v>
      </c>
      <c r="C14">
        <f>AMFsr!C14*AMF_root!C14</f>
        <v>2.1804339395692304E-2</v>
      </c>
      <c r="D14">
        <f>AMFsr!D14*AMF_root!D14</f>
        <v>0</v>
      </c>
      <c r="E14">
        <f>AMFsr!E14*AMF_root!E14</f>
        <v>6.3424618399955252E-3</v>
      </c>
      <c r="F14">
        <f>AMFsr!F14*AMF_root!F14</f>
        <v>1.4436685765818185E-3</v>
      </c>
      <c r="G14">
        <f>AMFsr!G14*AMF_root!G14</f>
        <v>8.6100851450980403E-4</v>
      </c>
      <c r="H14">
        <f>AMFsr!H14*AMF_root!H14</f>
        <v>0.40003479511436579</v>
      </c>
      <c r="I14">
        <f>AMFsr!I14*AMF_root!I14</f>
        <v>7.7149317638095232E-4</v>
      </c>
      <c r="J14">
        <f>AMFsr!J14*AMF_root!J14</f>
        <v>1.2725517865272331E-3</v>
      </c>
      <c r="K14">
        <f>AMFsr!K14*AMF_root!K14</f>
        <v>4.2797120690468574E-3</v>
      </c>
      <c r="L14">
        <f>AMFsr!L14*AMF_root!L14</f>
        <v>7.2694747781818175E-4</v>
      </c>
      <c r="M14">
        <f>AMFsr!M14*AMF_root!M14</f>
        <v>1.5702556992E-3</v>
      </c>
    </row>
    <row r="15" spans="1:15" x14ac:dyDescent="0.25">
      <c r="A15" s="3" t="s">
        <v>94</v>
      </c>
      <c r="B15" s="4">
        <f>AMFsr!B15*AMF_root!B15</f>
        <v>0</v>
      </c>
      <c r="C15" s="4">
        <f>AMFsr!C15*AMF_root!C15</f>
        <v>0</v>
      </c>
      <c r="D15" s="4">
        <f>AMFsr!D15*AMF_root!D15</f>
        <v>0</v>
      </c>
      <c r="E15" s="4">
        <f>AMFsr!E15*AMF_root!E15</f>
        <v>2.1138512640000002E-3</v>
      </c>
      <c r="F15" s="4">
        <f>AMFsr!F15*AMF_root!F15</f>
        <v>1.4436685765818185E-3</v>
      </c>
      <c r="G15" s="4">
        <f>AMFsr!G15*AMF_root!G15</f>
        <v>8.6100851450980403E-4</v>
      </c>
      <c r="H15" s="4">
        <f>AMFsr!H15*AMF_root!H15</f>
        <v>5.0495221676571432E-3</v>
      </c>
      <c r="I15" s="4">
        <f>AMFsr!I15*AMF_root!I15</f>
        <v>2.9289230272144764E-2</v>
      </c>
      <c r="J15" s="4">
        <f>AMFsr!J15*AMF_root!J15</f>
        <v>3.5650490602716862E-2</v>
      </c>
      <c r="K15" s="4">
        <f>AMFsr!K15*AMF_root!K15</f>
        <v>1.6507510570861715E-2</v>
      </c>
      <c r="L15" s="4">
        <f>AMFsr!L15*AMF_root!L15</f>
        <v>2.832285315605091E-2</v>
      </c>
      <c r="M15" s="4">
        <f>AMFsr!M15*AMF_root!M15</f>
        <v>3.4022358451199997E-2</v>
      </c>
      <c r="N15" s="2" t="s">
        <v>28</v>
      </c>
      <c r="O15">
        <f>AVERAGE(H15:M15)-AVERAGE(B15:G15)</f>
        <v>2.4070572810923296E-2</v>
      </c>
    </row>
    <row r="16" spans="1:15" x14ac:dyDescent="0.25">
      <c r="A16" t="s">
        <v>95</v>
      </c>
      <c r="B16">
        <f>AMFsr!B16*AMF_root!B16</f>
        <v>7.0537011711595266E-3</v>
      </c>
      <c r="C16">
        <f>AMFsr!C16*AMF_root!C16</f>
        <v>2.6429448293333328E-3</v>
      </c>
      <c r="D16">
        <f>AMFsr!D16*AMF_root!D16</f>
        <v>7.2134380799999996E-4</v>
      </c>
      <c r="E16">
        <f>AMFsr!E16*AMF_root!E16</f>
        <v>4.2278503497667139E-3</v>
      </c>
      <c r="F16">
        <f>AMFsr!F16*AMF_root!F16</f>
        <v>6.4999716676654561E-3</v>
      </c>
      <c r="G16">
        <f>AMFsr!G16*AMF_root!G16</f>
        <v>5.1610757983372559E-3</v>
      </c>
      <c r="H16">
        <f>AMFsr!H16*AMF_root!H16</f>
        <v>2.805830021108572E-3</v>
      </c>
      <c r="I16">
        <f>AMFsr!I16*AMF_root!I16</f>
        <v>2.3122389651276192E-3</v>
      </c>
      <c r="J16">
        <f>AMFsr!J16*AMF_root!J16</f>
        <v>1.2725517865272331E-3</v>
      </c>
      <c r="K16">
        <f>AMFsr!K16*AMF_root!K16</f>
        <v>4.2797120690468574E-3</v>
      </c>
      <c r="L16">
        <f>AMFsr!L16*AMF_root!L16</f>
        <v>0</v>
      </c>
      <c r="M16">
        <f>AMFsr!M16*AMF_root!M16</f>
        <v>3.6644528447999998E-3</v>
      </c>
    </row>
    <row r="17" spans="1:13" x14ac:dyDescent="0.25">
      <c r="A17" t="s">
        <v>96</v>
      </c>
      <c r="B17">
        <f>AMFsr!B17*AMF_root!B17</f>
        <v>26.995230600805431</v>
      </c>
      <c r="C17">
        <f>AMFsr!C17*AMF_root!C17</f>
        <v>6.2096106881975377</v>
      </c>
      <c r="D17">
        <f>AMFsr!D17*AMF_root!D17</f>
        <v>16.136765029215358</v>
      </c>
      <c r="E17">
        <f>AMFsr!E17*AMF_root!E17</f>
        <v>17.856315298513813</v>
      </c>
      <c r="F17">
        <f>AMFsr!F17*AMF_root!F17</f>
        <v>5.5148707352963156</v>
      </c>
      <c r="G17">
        <f>AMFsr!G17*AMF_root!G17</f>
        <v>13.512548554910623</v>
      </c>
      <c r="H17">
        <f>AMFsr!H17*AMF_root!H17</f>
        <v>0.17000077020726861</v>
      </c>
      <c r="I17">
        <f>AMFsr!I17*AMF_root!I17</f>
        <v>0.14104720053493333</v>
      </c>
      <c r="J17">
        <f>AMFsr!J17*AMF_root!J17</f>
        <v>0.16170038909708828</v>
      </c>
      <c r="K17">
        <f>AMFsr!K17*AMF_root!K17</f>
        <v>0.13756258198293944</v>
      </c>
      <c r="L17">
        <f>AMFsr!L17*AMF_root!L17</f>
        <v>3.9217336415461816E-2</v>
      </c>
      <c r="M17">
        <f>AMFsr!M17*AMF_root!M17</f>
        <v>0.1120120647168</v>
      </c>
    </row>
    <row r="18" spans="1:13" x14ac:dyDescent="0.25">
      <c r="A18" t="s">
        <v>97</v>
      </c>
      <c r="B18">
        <f>AMFsr!B18*AMF_root!B18</f>
        <v>3.7383867877853597E-2</v>
      </c>
      <c r="C18">
        <f>AMFsr!C18*AMF_root!C18</f>
        <v>2.6429487896615381E-2</v>
      </c>
      <c r="D18">
        <f>AMFsr!D18*AMF_root!D18</f>
        <v>2.450206222272E-2</v>
      </c>
      <c r="E18">
        <f>AMFsr!E18*AMF_root!E18</f>
        <v>3.3822781680738469E-2</v>
      </c>
      <c r="F18">
        <f>AMFsr!F18*AMF_root!F18</f>
        <v>6.2833131601454567E-2</v>
      </c>
      <c r="G18">
        <f>AMFsr!G18*AMF_root!G18</f>
        <v>0.16085345600853337</v>
      </c>
      <c r="H18">
        <f>AMFsr!H18*AMF_root!H18</f>
        <v>1.6831684510971432E-3</v>
      </c>
      <c r="I18">
        <f>AMFsr!I18*AMF_root!I18</f>
        <v>3.0829929863695239E-3</v>
      </c>
      <c r="J18">
        <f>AMFsr!J18*AMF_root!J18</f>
        <v>7.6393935689732457E-3</v>
      </c>
      <c r="K18">
        <f>AMFsr!K18*AMF_root!K18</f>
        <v>0</v>
      </c>
      <c r="L18">
        <f>AMFsr!L18*AMF_root!L18</f>
        <v>2.9049822398763635E-3</v>
      </c>
      <c r="M18">
        <f>AMFsr!M18*AMF_root!M18</f>
        <v>5.2392575999999995E-4</v>
      </c>
    </row>
    <row r="19" spans="1:13" x14ac:dyDescent="0.25">
      <c r="A19" t="s">
        <v>98</v>
      </c>
      <c r="B19">
        <f>AMFsr!B19*AMF_root!B19</f>
        <v>1.4099876770909091E-3</v>
      </c>
      <c r="C19">
        <f>AMFsr!C19*AMF_root!C19</f>
        <v>9.1843139736205101E-2</v>
      </c>
      <c r="D19">
        <f>AMFsr!D19*AMF_root!D19</f>
        <v>0</v>
      </c>
      <c r="E19">
        <f>AMFsr!E19*AMF_root!E19</f>
        <v>4.9331713509415389E-3</v>
      </c>
      <c r="F19">
        <f>AMFsr!F19*AMF_root!F19</f>
        <v>3.512155116639105</v>
      </c>
      <c r="G19">
        <f>AMFsr!G19*AMF_root!G19</f>
        <v>4.3008922021647066E-3</v>
      </c>
      <c r="H19">
        <f>AMFsr!H19*AMF_root!H19</f>
        <v>5.6105839228114294E-3</v>
      </c>
      <c r="I19">
        <f>AMFsr!I19*AMF_root!I19</f>
        <v>1.6185742051687619E-2</v>
      </c>
      <c r="J19">
        <f>AMFsr!J19*AMF_root!J19</f>
        <v>5.0929354055613075E-3</v>
      </c>
      <c r="K19">
        <f>AMFsr!K19*AMF_root!K19</f>
        <v>4.2797303917714285E-3</v>
      </c>
      <c r="L19">
        <f>AMFsr!L19*AMF_root!L19</f>
        <v>5.0837352434545454E-3</v>
      </c>
      <c r="M19">
        <f>AMFsr!M19*AMF_root!M19</f>
        <v>3.1405270848000001E-3</v>
      </c>
    </row>
    <row r="20" spans="1:13" x14ac:dyDescent="0.25">
      <c r="A20" t="s">
        <v>99</v>
      </c>
      <c r="B20">
        <f>AMFsr!B20*AMF_root!B20</f>
        <v>3.6679254545727749E-2</v>
      </c>
      <c r="C20">
        <f>AMFsr!C20*AMF_root!C20</f>
        <v>0</v>
      </c>
      <c r="D20">
        <f>AMFsr!D20*AMF_root!D20</f>
        <v>0</v>
      </c>
      <c r="E20">
        <f>AMFsr!E20*AMF_root!E20</f>
        <v>5.6378165954685325E-3</v>
      </c>
      <c r="F20">
        <f>AMFsr!F20*AMF_root!F20</f>
        <v>5.7777694278632746E-3</v>
      </c>
      <c r="G20">
        <f>AMFsr!G20*AMF_root!G20</f>
        <v>9.4627929188392176E-3</v>
      </c>
      <c r="H20">
        <f>AMFsr!H20*AMF_root!H20</f>
        <v>9.537999394525716E-3</v>
      </c>
      <c r="I20">
        <f>AMFsr!I20*AMF_root!I20</f>
        <v>4.6245010288533334E-3</v>
      </c>
      <c r="J20">
        <f>AMFsr!J20*AMF_root!J20</f>
        <v>2.0371703464770369E-2</v>
      </c>
      <c r="K20">
        <f>AMFsr!K20*AMF_root!K20</f>
        <v>4.9308543360724126</v>
      </c>
      <c r="L20">
        <f>AMFsr!L20*AMF_root!L20</f>
        <v>4.3574842422618183E-3</v>
      </c>
      <c r="M20">
        <f>AMFsr!M20*AMF_root!M20</f>
        <v>4.1873746752000007E-3</v>
      </c>
    </row>
    <row r="21" spans="1:13" x14ac:dyDescent="0.25">
      <c r="A21" t="s">
        <v>100</v>
      </c>
      <c r="B21">
        <f>AMFsr!B21*AMF_root!B21</f>
        <v>4.8670554992397148E-2</v>
      </c>
      <c r="C21">
        <f>AMFsr!C21*AMF_root!C21</f>
        <v>0</v>
      </c>
      <c r="D21">
        <f>AMFsr!D21*AMF_root!D21</f>
        <v>0</v>
      </c>
      <c r="E21">
        <f>AMFsr!E21*AMF_root!E21</f>
        <v>2.8185661959313008E-2</v>
      </c>
      <c r="F21">
        <f>AMFsr!F21*AMF_root!F21</f>
        <v>6.644422937729165E-2</v>
      </c>
      <c r="G21">
        <f>AMFsr!G21*AMF_root!G21</f>
        <v>6.8814301013333343E-2</v>
      </c>
      <c r="H21">
        <f>AMFsr!H21*AMF_root!H21</f>
        <v>0.49653687894120008</v>
      </c>
      <c r="I21">
        <f>AMFsr!I21*AMF_root!I21</f>
        <v>4.3809413491264078</v>
      </c>
      <c r="J21">
        <f>AMFsr!J21*AMF_root!J21</f>
        <v>4.7115931695504791</v>
      </c>
      <c r="K21">
        <f>AMFsr!K21*AMF_root!K21</f>
        <v>4.7229819997369784</v>
      </c>
      <c r="L21">
        <f>AMFsr!L21*AMF_root!L21</f>
        <v>3.6922394569437964</v>
      </c>
      <c r="M21">
        <f>AMFsr!M21*AMF_root!M21</f>
        <v>2.4736870207104</v>
      </c>
    </row>
    <row r="22" spans="1:13" x14ac:dyDescent="0.25">
      <c r="A22" t="s">
        <v>101</v>
      </c>
      <c r="B22">
        <f>AMFsr!B22*AMF_root!B22</f>
        <v>1.9045001617828933E-2</v>
      </c>
      <c r="C22">
        <f>AMFsr!C22*AMF_root!C22</f>
        <v>0.11959349609743587</v>
      </c>
      <c r="D22">
        <f>AMFsr!D22*AMF_root!D22</f>
        <v>4.3959577141440005E-2</v>
      </c>
      <c r="E22">
        <f>AMFsr!E22*AMF_root!E22</f>
        <v>2.8890307203840001E-2</v>
      </c>
      <c r="F22">
        <f>AMFsr!F22*AMF_root!F22</f>
        <v>2.1665829107793463E-2</v>
      </c>
      <c r="G22">
        <f>AMFsr!G22*AMF_root!G22</f>
        <v>3.1499746965544162</v>
      </c>
      <c r="H22">
        <f>AMFsr!H22*AMF_root!H22</f>
        <v>4.4884604125028579E-3</v>
      </c>
      <c r="I22">
        <f>AMFsr!I22*AMF_root!I22</f>
        <v>3.8529154580799994E-3</v>
      </c>
      <c r="J22">
        <f>AMFsr!J22*AMF_root!J22</f>
        <v>2.3554094104172203E-2</v>
      </c>
      <c r="K22">
        <f>AMFsr!K22*AMF_root!K22</f>
        <v>1.4061958199588573E-2</v>
      </c>
      <c r="L22">
        <f>AMFsr!L22*AMF_root!L22</f>
        <v>2.1786659439999999E-3</v>
      </c>
      <c r="M22">
        <f>AMFsr!M22*AMF_root!M22</f>
        <v>1.41323640384E-2</v>
      </c>
    </row>
    <row r="23" spans="1:13" x14ac:dyDescent="0.25">
      <c r="A23" t="s">
        <v>102</v>
      </c>
      <c r="B23">
        <f>AMFsr!B23*AMF_root!B23</f>
        <v>7.4769257781385615E-2</v>
      </c>
      <c r="C23">
        <f>AMFsr!C23*AMF_root!C23</f>
        <v>7.1358936144410245E-2</v>
      </c>
      <c r="D23">
        <f>AMFsr!D23*AMF_root!D23</f>
        <v>0</v>
      </c>
      <c r="E23">
        <f>AMFsr!E23*AMF_root!E23</f>
        <v>1.4085302628251749E-3</v>
      </c>
      <c r="F23">
        <f>AMFsr!F23*AMF_root!F23</f>
        <v>4.6944292730088745E-2</v>
      </c>
      <c r="G23">
        <f>AMFsr!G23*AMF_root!G23</f>
        <v>3.4407086059921573E-3</v>
      </c>
      <c r="H23">
        <f>AMFsr!H23*AMF_root!H23</f>
        <v>1.6831684510971432E-3</v>
      </c>
      <c r="I23">
        <f>AMFsr!I23*AMF_root!I23</f>
        <v>0</v>
      </c>
      <c r="J23">
        <f>AMFsr!J23*AMF_root!J23</f>
        <v>6.3722983013507625E-4</v>
      </c>
      <c r="K23">
        <f>AMFsr!K23*AMF_root!K23</f>
        <v>1.2221257289142858E-3</v>
      </c>
      <c r="L23">
        <f>AMFsr!L23*AMF_root!L23</f>
        <v>0</v>
      </c>
      <c r="M23">
        <f>AMFsr!M23*AMF_root!M23</f>
        <v>1.0462828799999999E-3</v>
      </c>
    </row>
    <row r="24" spans="1:13" x14ac:dyDescent="0.25">
      <c r="A24" t="s">
        <v>103</v>
      </c>
      <c r="B24">
        <f>AMFsr!B24*AMF_root!B24</f>
        <v>2.7199082750677297</v>
      </c>
      <c r="C24">
        <f>AMFsr!C24*AMF_root!C24</f>
        <v>7.7696118093048181</v>
      </c>
      <c r="D24">
        <f>AMFsr!D24*AMF_root!D24</f>
        <v>0.11025923680800001</v>
      </c>
      <c r="E24">
        <f>AMFsr!E24*AMF_root!E24</f>
        <v>1.1971855762370687</v>
      </c>
      <c r="F24">
        <f>AMFsr!F24*AMF_root!F24</f>
        <v>12.887290932688144</v>
      </c>
      <c r="G24">
        <f>AMFsr!G24*AMF_root!G24</f>
        <v>0.65287568891984327</v>
      </c>
      <c r="H24">
        <f>AMFsr!H24*AMF_root!H24</f>
        <v>26.489260528351718</v>
      </c>
      <c r="I24">
        <f>AMFsr!I24*AMF_root!I24</f>
        <v>36.503477077726487</v>
      </c>
      <c r="J24">
        <f>AMFsr!J24*AMF_root!J24</f>
        <v>23.475842433661516</v>
      </c>
      <c r="K24">
        <f>AMFsr!K24*AMF_root!K24</f>
        <v>18.595404183023177</v>
      </c>
      <c r="L24">
        <f>AMFsr!L24*AMF_root!L24</f>
        <v>24.24502785028988</v>
      </c>
      <c r="M24">
        <f>AMFsr!M24*AMF_root!M24</f>
        <v>19.699991214355201</v>
      </c>
    </row>
    <row r="25" spans="1:13" x14ac:dyDescent="0.25">
      <c r="A25" t="s">
        <v>104</v>
      </c>
      <c r="B25">
        <f>AMFsr!B25*AMF_root!B25</f>
        <v>7.0605080082213436E-4</v>
      </c>
      <c r="C25">
        <f>AMFsr!C25*AMF_root!C25</f>
        <v>0</v>
      </c>
      <c r="D25">
        <f>AMFsr!D25*AMF_root!D25</f>
        <v>3.8915029837440003E-2</v>
      </c>
      <c r="E25">
        <f>AMFsr!E25*AMF_root!E25</f>
        <v>2.5367080981205038E-2</v>
      </c>
      <c r="F25">
        <f>AMFsr!F25*AMF_root!F25</f>
        <v>8.6666433196916377E-3</v>
      </c>
      <c r="G25">
        <f>AMFsr!G25*AMF_root!G25</f>
        <v>1.2902676606494121E-2</v>
      </c>
      <c r="H25">
        <f>AMFsr!H25*AMF_root!H25</f>
        <v>1.7392225020788573E-2</v>
      </c>
      <c r="I25">
        <f>AMFsr!I25*AMF_root!I25</f>
        <v>3.0829999159489523E-2</v>
      </c>
      <c r="J25">
        <f>AMFsr!J25*AMF_root!J25</f>
        <v>3.5013184457632074E-2</v>
      </c>
      <c r="K25">
        <f>AMFsr!K25*AMF_root!K25</f>
        <v>1.4061958199588573E-2</v>
      </c>
      <c r="L25">
        <f>AMFsr!L25*AMF_root!L25</f>
        <v>3.8490301878065458E-2</v>
      </c>
      <c r="M25">
        <f>AMFsr!M25*AMF_root!M25</f>
        <v>4.2967619032320004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3891B-CBC5-475D-8F0E-50BCB1B024B5}">
  <dimension ref="A1:N14"/>
  <sheetViews>
    <sheetView workbookViewId="0">
      <selection activeCell="H23" sqref="H23"/>
    </sheetView>
  </sheetViews>
  <sheetFormatPr defaultRowHeight="13.8" x14ac:dyDescent="0.25"/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4" x14ac:dyDescent="0.25">
      <c r="A2" t="s">
        <v>55</v>
      </c>
      <c r="B2">
        <v>3.2962827130000001</v>
      </c>
      <c r="C2">
        <v>4.4439466665000005</v>
      </c>
      <c r="D2">
        <v>2.4265151999999999</v>
      </c>
      <c r="E2">
        <v>4.1337233004999998</v>
      </c>
      <c r="F2">
        <v>2.5096247854999998</v>
      </c>
      <c r="G2">
        <v>5.0836781174999999</v>
      </c>
      <c r="H2">
        <v>0.97455908550000003</v>
      </c>
      <c r="I2">
        <v>0.97001493350000012</v>
      </c>
      <c r="J2">
        <v>1.4665567370000001</v>
      </c>
      <c r="K2">
        <v>1.3191519084999999</v>
      </c>
      <c r="L2">
        <v>0.30375563649999998</v>
      </c>
      <c r="M2">
        <v>1.7959551999999999</v>
      </c>
      <c r="N2" t="s">
        <v>68</v>
      </c>
    </row>
    <row r="3" spans="1:14" x14ac:dyDescent="0.25">
      <c r="A3" t="s">
        <v>56</v>
      </c>
      <c r="B3">
        <v>7.5292315825000005</v>
      </c>
      <c r="C3">
        <v>7.7023146665000004</v>
      </c>
      <c r="D3">
        <v>16.658438400000001</v>
      </c>
      <c r="E3">
        <v>19.419722294</v>
      </c>
      <c r="F3">
        <v>8.8879781250000001</v>
      </c>
      <c r="G3">
        <v>18.293960782500001</v>
      </c>
      <c r="H3">
        <v>3.0717065145000002</v>
      </c>
      <c r="I3">
        <v>4.3839308189999997</v>
      </c>
      <c r="J3">
        <v>6.3776832695000003</v>
      </c>
      <c r="K3">
        <v>6.7440405944999995</v>
      </c>
      <c r="L3">
        <v>5.5266001454999998</v>
      </c>
      <c r="M3">
        <v>5.5838715074999996</v>
      </c>
      <c r="N3" t="s">
        <v>69</v>
      </c>
    </row>
    <row r="4" spans="1:14" x14ac:dyDescent="0.25">
      <c r="A4" t="s">
        <v>57</v>
      </c>
      <c r="B4">
        <v>14.933446121499999</v>
      </c>
      <c r="C4">
        <v>8.8642133335000004</v>
      </c>
      <c r="D4">
        <v>8.1253440000000001</v>
      </c>
      <c r="E4">
        <v>6.1984526320000004</v>
      </c>
      <c r="F4">
        <v>13.902923404999999</v>
      </c>
      <c r="G4">
        <v>14.896273905000001</v>
      </c>
      <c r="H4">
        <v>8.3584827449999999</v>
      </c>
      <c r="I4">
        <v>10.0904524205</v>
      </c>
      <c r="J4">
        <v>8.5363384060000005</v>
      </c>
      <c r="K4">
        <v>4.7482938514999997</v>
      </c>
      <c r="L4">
        <v>10.779309091</v>
      </c>
      <c r="M4">
        <v>8.1683170460000003</v>
      </c>
      <c r="N4" t="s">
        <v>70</v>
      </c>
    </row>
    <row r="5" spans="1:14" x14ac:dyDescent="0.25">
      <c r="A5" t="s">
        <v>58</v>
      </c>
      <c r="B5">
        <v>6.0511454609999999</v>
      </c>
      <c r="C5">
        <v>5.4606080000000006</v>
      </c>
      <c r="D5">
        <v>2.2150656</v>
      </c>
      <c r="E5">
        <v>1.2322819585</v>
      </c>
      <c r="F5">
        <v>2.7311204074999997</v>
      </c>
      <c r="G5">
        <v>1.6131868444999999</v>
      </c>
      <c r="H5">
        <v>0.29534262850000004</v>
      </c>
      <c r="I5">
        <v>0</v>
      </c>
      <c r="J5">
        <v>0.36265863549999999</v>
      </c>
      <c r="K5">
        <v>1.3618176</v>
      </c>
      <c r="L5">
        <v>1.0020285090000001</v>
      </c>
      <c r="M5">
        <v>0.83345378450000007</v>
      </c>
      <c r="N5" t="s">
        <v>71</v>
      </c>
    </row>
    <row r="6" spans="1:14" x14ac:dyDescent="0.25">
      <c r="A6" t="s">
        <v>59</v>
      </c>
      <c r="B6">
        <v>2.1858749215</v>
      </c>
      <c r="C6">
        <v>2.8068693334999999</v>
      </c>
      <c r="D6">
        <v>2.3124096000000001</v>
      </c>
      <c r="E6">
        <v>1.9122933254999999</v>
      </c>
      <c r="F6">
        <v>3.8187350110000002</v>
      </c>
      <c r="G6">
        <v>1.6131868444999999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 t="s">
        <v>72</v>
      </c>
    </row>
    <row r="7" spans="1:14" x14ac:dyDescent="0.25">
      <c r="A7" t="s">
        <v>60</v>
      </c>
      <c r="B7">
        <v>2.8798797914999996</v>
      </c>
      <c r="C7">
        <v>3.8551039999999999</v>
      </c>
      <c r="D7">
        <v>1.8727488000000001</v>
      </c>
      <c r="E7">
        <v>4.7230367324999998</v>
      </c>
      <c r="F7">
        <v>0.34300416</v>
      </c>
      <c r="G7">
        <v>2.0164835554999998</v>
      </c>
      <c r="H7">
        <v>0</v>
      </c>
      <c r="I7">
        <v>0.54025920000000005</v>
      </c>
      <c r="J7">
        <v>0.65887952599999999</v>
      </c>
      <c r="K7">
        <v>0</v>
      </c>
      <c r="L7">
        <v>0</v>
      </c>
      <c r="M7">
        <v>0</v>
      </c>
      <c r="N7" t="s">
        <v>73</v>
      </c>
    </row>
    <row r="8" spans="1:14" x14ac:dyDescent="0.25">
      <c r="A8" t="s">
        <v>61</v>
      </c>
      <c r="B8">
        <v>2.6022778435</v>
      </c>
      <c r="C8">
        <v>4.0082346664999999</v>
      </c>
      <c r="D8">
        <v>0.65111039999999998</v>
      </c>
      <c r="E8">
        <v>1.1292364085</v>
      </c>
      <c r="F8">
        <v>2.965528902</v>
      </c>
      <c r="G8">
        <v>2.0771538825000002</v>
      </c>
      <c r="H8">
        <v>8.8531200000000004E-2</v>
      </c>
      <c r="I8">
        <v>0</v>
      </c>
      <c r="J8">
        <v>0</v>
      </c>
      <c r="K8">
        <v>0</v>
      </c>
      <c r="L8">
        <v>0</v>
      </c>
      <c r="M8">
        <v>0</v>
      </c>
      <c r="N8" t="s">
        <v>74</v>
      </c>
    </row>
    <row r="9" spans="1:14" x14ac:dyDescent="0.25">
      <c r="A9" t="s">
        <v>62</v>
      </c>
      <c r="B9">
        <v>5.6972510610000002</v>
      </c>
      <c r="C9">
        <v>1.790208</v>
      </c>
      <c r="D9">
        <v>2.9635199999999999</v>
      </c>
      <c r="E9">
        <v>2.1307320389999997</v>
      </c>
      <c r="F9">
        <v>2.1080185020000002</v>
      </c>
      <c r="G9">
        <v>5.2913935060000004</v>
      </c>
      <c r="H9">
        <v>0.81201325700000004</v>
      </c>
      <c r="I9">
        <v>0.49333836199999997</v>
      </c>
      <c r="J9">
        <v>1.664495491</v>
      </c>
      <c r="K9">
        <v>2.3853377829999998</v>
      </c>
      <c r="L9">
        <v>1.7916471275000001</v>
      </c>
      <c r="M9">
        <v>0.42821120000000001</v>
      </c>
      <c r="N9" t="s">
        <v>75</v>
      </c>
    </row>
    <row r="10" spans="1:14" x14ac:dyDescent="0.25">
      <c r="A10" t="s">
        <v>63</v>
      </c>
      <c r="B10">
        <v>2.3246758955</v>
      </c>
      <c r="C10">
        <v>1.5976106665000001</v>
      </c>
      <c r="D10">
        <v>0.55376639999999999</v>
      </c>
      <c r="E10">
        <v>1.1168887945000001</v>
      </c>
      <c r="F10">
        <v>1.7064122180000001</v>
      </c>
      <c r="G10">
        <v>4.8638286639999997</v>
      </c>
      <c r="H10">
        <v>0</v>
      </c>
      <c r="I10">
        <v>0.53719466650000003</v>
      </c>
      <c r="J10">
        <v>0.60443105900000005</v>
      </c>
      <c r="K10">
        <v>0</v>
      </c>
      <c r="L10">
        <v>0.60721919999999996</v>
      </c>
      <c r="M10">
        <v>0</v>
      </c>
      <c r="N10" t="s">
        <v>76</v>
      </c>
    </row>
    <row r="11" spans="1:14" x14ac:dyDescent="0.25">
      <c r="A11" t="s">
        <v>64</v>
      </c>
      <c r="B11">
        <v>1.0616832</v>
      </c>
      <c r="C11">
        <v>2.8147626665000001</v>
      </c>
      <c r="D11">
        <v>0</v>
      </c>
      <c r="E11">
        <v>0</v>
      </c>
      <c r="F11">
        <v>5.2450494834999999</v>
      </c>
      <c r="G11">
        <v>1.6131868444999999</v>
      </c>
      <c r="H11">
        <v>0.26559359999999999</v>
      </c>
      <c r="I11">
        <v>0.69461897149999996</v>
      </c>
      <c r="J11">
        <v>0</v>
      </c>
      <c r="K11">
        <v>0.28817115450000003</v>
      </c>
      <c r="L11">
        <v>0</v>
      </c>
      <c r="M11">
        <v>0.1070528</v>
      </c>
      <c r="N11" t="s">
        <v>77</v>
      </c>
    </row>
    <row r="12" spans="1:14" x14ac:dyDescent="0.25">
      <c r="A12" t="s">
        <v>65</v>
      </c>
      <c r="B12">
        <v>0</v>
      </c>
      <c r="C12">
        <v>0</v>
      </c>
      <c r="D12">
        <v>4.3311744000000001</v>
      </c>
      <c r="E12">
        <v>1.450720671</v>
      </c>
      <c r="F12">
        <v>0</v>
      </c>
      <c r="G12">
        <v>2.7003000469999998</v>
      </c>
      <c r="H12">
        <v>0.72384000000000004</v>
      </c>
      <c r="I12">
        <v>0.64463360000000003</v>
      </c>
      <c r="J12">
        <v>0.2417724235</v>
      </c>
      <c r="K12">
        <v>0</v>
      </c>
      <c r="L12">
        <v>0.75902400000000003</v>
      </c>
      <c r="M12">
        <v>0.19211076899999999</v>
      </c>
      <c r="N12" t="s">
        <v>78</v>
      </c>
    </row>
    <row r="13" spans="1:14" x14ac:dyDescent="0.25">
      <c r="A13" t="s">
        <v>66</v>
      </c>
      <c r="B13">
        <v>0.7077888</v>
      </c>
      <c r="C13">
        <v>1.0166613335000001</v>
      </c>
      <c r="D13">
        <v>0.55376639999999999</v>
      </c>
      <c r="E13">
        <v>1.0138432449999999</v>
      </c>
      <c r="F13">
        <v>0</v>
      </c>
      <c r="G13">
        <v>1.0385769410000001</v>
      </c>
      <c r="H13">
        <v>0</v>
      </c>
      <c r="I13">
        <v>0</v>
      </c>
      <c r="J13">
        <v>0.4117997035</v>
      </c>
      <c r="K13">
        <v>0.33619968</v>
      </c>
      <c r="L13">
        <v>0.18225338199999999</v>
      </c>
      <c r="M13">
        <v>0</v>
      </c>
      <c r="N13" t="s">
        <v>79</v>
      </c>
    </row>
    <row r="14" spans="1:14" x14ac:dyDescent="0.25">
      <c r="A14" t="s">
        <v>67</v>
      </c>
      <c r="B14">
        <v>0</v>
      </c>
      <c r="C14">
        <v>0</v>
      </c>
      <c r="D14">
        <v>1.3022208</v>
      </c>
      <c r="E14">
        <v>0.46157265450000001</v>
      </c>
      <c r="F14">
        <v>1.37201664</v>
      </c>
      <c r="G14">
        <v>0</v>
      </c>
      <c r="H14">
        <v>0.17706240000000001</v>
      </c>
      <c r="I14">
        <v>0.1074389335</v>
      </c>
      <c r="J14">
        <v>0</v>
      </c>
      <c r="K14">
        <v>0</v>
      </c>
      <c r="L14">
        <v>0.30375563649999998</v>
      </c>
      <c r="M14">
        <v>0</v>
      </c>
      <c r="N14" t="s">
        <v>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AMF_s</vt:lpstr>
      <vt:lpstr>AMFsr</vt:lpstr>
      <vt:lpstr>AMF_root</vt:lpstr>
      <vt:lpstr>AMF</vt:lpstr>
      <vt:lpstr>HN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罗美球</dc:creator>
  <cp:lastModifiedBy>罗美球</cp:lastModifiedBy>
  <dcterms:created xsi:type="dcterms:W3CDTF">2022-10-24T03:37:40Z</dcterms:created>
  <dcterms:modified xsi:type="dcterms:W3CDTF">2022-10-25T11:45:10Z</dcterms:modified>
</cp:coreProperties>
</file>